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ISTIQUE ECLATE 2025-2026\"/>
    </mc:Choice>
  </mc:AlternateContent>
  <bookViews>
    <workbookView xWindow="0" yWindow="0" windowWidth="19200" windowHeight="7140" firstSheet="5" activeTab="6"/>
  </bookViews>
  <sheets>
    <sheet name="DEC-24" sheetId="1" r:id="rId1"/>
    <sheet name="BAMAKO FINAL" sheetId="11" r:id="rId2"/>
    <sheet name="BAMAKO POOL-UBIPHARM" sheetId="7" r:id="rId3"/>
    <sheet name="BAMAKO POOL-LABOREX" sheetId="2" r:id="rId4"/>
    <sheet name="BAMAKO POOL-AFRICALA" sheetId="9" r:id="rId5"/>
    <sheet name="BAMAKO POOL-CAMED &amp;TEDIS&amp;AFRICA" sheetId="10" r:id="rId6"/>
    <sheet name="BAMAKO POOL-TOTAL" sheetId="8" r:id="rId7"/>
    <sheet name="OUTSTATION-AFRICA LAB " sheetId="3" r:id="rId8"/>
    <sheet name="UBIPHARM-OUTSTATION" sheetId="4" r:id="rId9"/>
    <sheet name="LABOREX OUTSTATION" sheetId="5" r:id="rId10"/>
    <sheet name="TOTAL UBI -LABOREX-CAMED-AFRI" sheetId="6" r:id="rId11"/>
    <sheet name="TOTAL SALE MALI" sheetId="13" r:id="rId12"/>
    <sheet name="BAMAKO POOL" sheetId="14" r:id="rId13"/>
    <sheet name="CAMED &amp; TEDIS OUTSTATION" sheetId="12" r:id="rId14"/>
    <sheet name="OUTSTATION " sheetId="15" r:id="rId15"/>
  </sheets>
  <calcPr calcId="162913"/>
</workbook>
</file>

<file path=xl/calcChain.xml><?xml version="1.0" encoding="utf-8"?>
<calcChain xmlns="http://schemas.openxmlformats.org/spreadsheetml/2006/main">
  <c r="X8" i="4" l="1"/>
  <c r="E17" i="4" l="1"/>
  <c r="L4" i="15" l="1"/>
  <c r="O19" i="5" l="1"/>
  <c r="O20" i="5"/>
  <c r="O18" i="5"/>
  <c r="K13" i="5"/>
  <c r="K14" i="5"/>
  <c r="M5" i="7" l="1"/>
  <c r="M17" i="7" l="1"/>
  <c r="M14" i="7"/>
  <c r="M5" i="5" l="1"/>
  <c r="L5" i="15" l="1"/>
  <c r="X6" i="4"/>
  <c r="K19" i="10" l="1"/>
  <c r="T5" i="7" l="1"/>
  <c r="R12" i="15" l="1"/>
  <c r="M6" i="7" l="1"/>
  <c r="S18" i="12" l="1"/>
  <c r="E17" i="12"/>
  <c r="T16" i="10"/>
  <c r="D12" i="8"/>
  <c r="D13" i="8"/>
  <c r="F12" i="8"/>
  <c r="T12" i="7"/>
  <c r="T12" i="2"/>
  <c r="U15" i="5"/>
  <c r="U16" i="5"/>
  <c r="U18" i="5"/>
  <c r="U17" i="5"/>
  <c r="E8" i="10" l="1"/>
  <c r="E9" i="10"/>
  <c r="D5" i="6" l="1"/>
  <c r="D6" i="6"/>
  <c r="M7" i="7"/>
  <c r="X14" i="12" l="1"/>
  <c r="W21" i="12"/>
  <c r="W20" i="12"/>
  <c r="F19" i="8"/>
  <c r="P21" i="8"/>
  <c r="Q21" i="8" s="1"/>
  <c r="N21" i="8"/>
  <c r="O21" i="8" s="1"/>
  <c r="L21" i="8"/>
  <c r="M21" i="8" s="1"/>
  <c r="J21" i="8"/>
  <c r="K21" i="8" s="1"/>
  <c r="H21" i="8"/>
  <c r="I21" i="8" s="1"/>
  <c r="F21" i="8"/>
  <c r="G21" i="8" s="1"/>
  <c r="D21" i="8"/>
  <c r="P20" i="8"/>
  <c r="Q20" i="8" s="1"/>
  <c r="N20" i="8"/>
  <c r="O20" i="8" s="1"/>
  <c r="L20" i="8"/>
  <c r="M20" i="8" s="1"/>
  <c r="J20" i="8"/>
  <c r="K20" i="8" s="1"/>
  <c r="H20" i="8"/>
  <c r="I20" i="8" s="1"/>
  <c r="F20" i="8"/>
  <c r="G20" i="8" s="1"/>
  <c r="D20" i="8"/>
  <c r="E20" i="8" s="1"/>
  <c r="W21" i="5"/>
  <c r="W20" i="5"/>
  <c r="W19" i="4"/>
  <c r="W21" i="4"/>
  <c r="W20" i="4"/>
  <c r="G19" i="5"/>
  <c r="J18" i="6"/>
  <c r="K18" i="6" s="1"/>
  <c r="V19" i="6"/>
  <c r="W19" i="6" s="1"/>
  <c r="R19" i="6"/>
  <c r="S19" i="6" s="1"/>
  <c r="P19" i="6"/>
  <c r="Q19" i="6" s="1"/>
  <c r="N19" i="6"/>
  <c r="O19" i="6" s="1"/>
  <c r="L19" i="6"/>
  <c r="M19" i="6" s="1"/>
  <c r="J19" i="6"/>
  <c r="K19" i="6" s="1"/>
  <c r="H19" i="6"/>
  <c r="I19" i="6" s="1"/>
  <c r="F19" i="6"/>
  <c r="G19" i="6" s="1"/>
  <c r="D19" i="6"/>
  <c r="E19" i="6" s="1"/>
  <c r="V18" i="6"/>
  <c r="W18" i="6" s="1"/>
  <c r="R18" i="6"/>
  <c r="S18" i="6" s="1"/>
  <c r="P18" i="6"/>
  <c r="Q18" i="6" s="1"/>
  <c r="N18" i="6"/>
  <c r="O18" i="6" s="1"/>
  <c r="L18" i="6"/>
  <c r="M18" i="6" s="1"/>
  <c r="H18" i="6"/>
  <c r="I18" i="6" s="1"/>
  <c r="F18" i="6"/>
  <c r="G18" i="6" s="1"/>
  <c r="D18" i="6"/>
  <c r="E18" i="6" s="1"/>
  <c r="L20" i="14"/>
  <c r="J20" i="14"/>
  <c r="H20" i="14"/>
  <c r="F20" i="14"/>
  <c r="D20" i="14"/>
  <c r="L19" i="14"/>
  <c r="J19" i="14"/>
  <c r="H19" i="14"/>
  <c r="F19" i="14"/>
  <c r="D19" i="14"/>
  <c r="L18" i="14"/>
  <c r="J18" i="14"/>
  <c r="H18" i="14"/>
  <c r="F18" i="14"/>
  <c r="D18" i="14"/>
  <c r="V20" i="15"/>
  <c r="W20" i="15" s="1"/>
  <c r="R20" i="15"/>
  <c r="S20" i="15" s="1"/>
  <c r="P20" i="15"/>
  <c r="Q20" i="15" s="1"/>
  <c r="N20" i="15"/>
  <c r="O20" i="15" s="1"/>
  <c r="L20" i="15"/>
  <c r="M20" i="15" s="1"/>
  <c r="J20" i="15"/>
  <c r="K20" i="15" s="1"/>
  <c r="H20" i="15"/>
  <c r="I20" i="15" s="1"/>
  <c r="F20" i="15"/>
  <c r="G20" i="15" s="1"/>
  <c r="D20" i="15"/>
  <c r="E20" i="15" s="1"/>
  <c r="V19" i="15"/>
  <c r="W19" i="15" s="1"/>
  <c r="R19" i="15"/>
  <c r="S19" i="15" s="1"/>
  <c r="P19" i="15"/>
  <c r="Q19" i="15" s="1"/>
  <c r="N19" i="15"/>
  <c r="O19" i="15" s="1"/>
  <c r="L19" i="15"/>
  <c r="M19" i="15" s="1"/>
  <c r="J19" i="15"/>
  <c r="K19" i="15" s="1"/>
  <c r="H19" i="15"/>
  <c r="I19" i="15" s="1"/>
  <c r="F19" i="15"/>
  <c r="G19" i="15" s="1"/>
  <c r="D19" i="15"/>
  <c r="E19" i="15" s="1"/>
  <c r="T21" i="12"/>
  <c r="U21" i="12" s="1"/>
  <c r="S21" i="12"/>
  <c r="Q21" i="12"/>
  <c r="O21" i="12"/>
  <c r="M21" i="12"/>
  <c r="K21" i="12"/>
  <c r="I21" i="12"/>
  <c r="G21" i="12"/>
  <c r="E21" i="12"/>
  <c r="U20" i="12"/>
  <c r="S20" i="12"/>
  <c r="Q20" i="12"/>
  <c r="O20" i="12"/>
  <c r="M20" i="12"/>
  <c r="K20" i="12"/>
  <c r="I20" i="12"/>
  <c r="G20" i="12"/>
  <c r="E20" i="12"/>
  <c r="U21" i="5"/>
  <c r="S21" i="5"/>
  <c r="Q21" i="5"/>
  <c r="O21" i="5"/>
  <c r="M21" i="5"/>
  <c r="K21" i="5"/>
  <c r="I21" i="5"/>
  <c r="G21" i="5"/>
  <c r="E21" i="5"/>
  <c r="U20" i="5"/>
  <c r="S20" i="5"/>
  <c r="Q20" i="5"/>
  <c r="M20" i="5"/>
  <c r="K20" i="5"/>
  <c r="I20" i="5"/>
  <c r="G20" i="5"/>
  <c r="E20" i="5"/>
  <c r="U21" i="4"/>
  <c r="S21" i="4"/>
  <c r="Q21" i="4"/>
  <c r="O21" i="4"/>
  <c r="M21" i="4"/>
  <c r="K21" i="4"/>
  <c r="I21" i="4"/>
  <c r="G21" i="4"/>
  <c r="E21" i="4"/>
  <c r="U20" i="4"/>
  <c r="S20" i="4"/>
  <c r="Q20" i="4"/>
  <c r="O20" i="4"/>
  <c r="M20" i="4"/>
  <c r="K20" i="4"/>
  <c r="I20" i="4"/>
  <c r="G20" i="4"/>
  <c r="E20" i="4"/>
  <c r="T21" i="3"/>
  <c r="U21" i="3" s="1"/>
  <c r="S21" i="3"/>
  <c r="Q21" i="3"/>
  <c r="O21" i="3"/>
  <c r="M21" i="3"/>
  <c r="K21" i="3"/>
  <c r="I21" i="3"/>
  <c r="G21" i="3"/>
  <c r="E21" i="3"/>
  <c r="T20" i="3"/>
  <c r="U20" i="3" s="1"/>
  <c r="S20" i="3"/>
  <c r="Q20" i="3"/>
  <c r="O20" i="3"/>
  <c r="M20" i="3"/>
  <c r="K20" i="3"/>
  <c r="I20" i="3"/>
  <c r="G20" i="3"/>
  <c r="E20" i="3"/>
  <c r="T21" i="10"/>
  <c r="U21" i="10" s="1"/>
  <c r="S21" i="10"/>
  <c r="Q21" i="10"/>
  <c r="O21" i="10"/>
  <c r="M21" i="10"/>
  <c r="K21" i="10"/>
  <c r="I21" i="10"/>
  <c r="G21" i="10"/>
  <c r="E21" i="10"/>
  <c r="T20" i="10"/>
  <c r="U20" i="10" s="1"/>
  <c r="S20" i="10"/>
  <c r="Q20" i="10"/>
  <c r="O20" i="10"/>
  <c r="M20" i="10"/>
  <c r="K20" i="10"/>
  <c r="I20" i="10"/>
  <c r="G20" i="10"/>
  <c r="E20" i="10"/>
  <c r="T21" i="9"/>
  <c r="U21" i="9" s="1"/>
  <c r="S21" i="9"/>
  <c r="Q21" i="9"/>
  <c r="O21" i="9"/>
  <c r="M21" i="9"/>
  <c r="K21" i="9"/>
  <c r="I21" i="9"/>
  <c r="G21" i="9"/>
  <c r="E21" i="9"/>
  <c r="T20" i="9"/>
  <c r="U20" i="9" s="1"/>
  <c r="S20" i="9"/>
  <c r="Q20" i="9"/>
  <c r="O20" i="9"/>
  <c r="M20" i="9"/>
  <c r="K20" i="9"/>
  <c r="I20" i="9"/>
  <c r="G20" i="9"/>
  <c r="E20" i="9"/>
  <c r="T21" i="2"/>
  <c r="U21" i="2" s="1"/>
  <c r="S21" i="2"/>
  <c r="M20" i="14" s="1"/>
  <c r="Q21" i="2"/>
  <c r="O21" i="2"/>
  <c r="K20" i="14" s="1"/>
  <c r="M21" i="2"/>
  <c r="I20" i="14" s="1"/>
  <c r="K21" i="2"/>
  <c r="I21" i="2"/>
  <c r="G21" i="2"/>
  <c r="E21" i="2"/>
  <c r="T20" i="2"/>
  <c r="U20" i="2" s="1"/>
  <c r="S20" i="2"/>
  <c r="M19" i="14" s="1"/>
  <c r="Q20" i="2"/>
  <c r="O20" i="2"/>
  <c r="K19" i="14" s="1"/>
  <c r="M20" i="2"/>
  <c r="I19" i="14" s="1"/>
  <c r="K20" i="2"/>
  <c r="I20" i="2"/>
  <c r="G20" i="2"/>
  <c r="E20" i="2"/>
  <c r="T21" i="7"/>
  <c r="U21" i="7" s="1"/>
  <c r="S21" i="7"/>
  <c r="Q21" i="7"/>
  <c r="O21" i="7"/>
  <c r="M21" i="7"/>
  <c r="K21" i="7"/>
  <c r="I21" i="7"/>
  <c r="E21" i="7"/>
  <c r="T20" i="7"/>
  <c r="U20" i="7" s="1"/>
  <c r="S20" i="7"/>
  <c r="Q20" i="7"/>
  <c r="O20" i="7"/>
  <c r="M20" i="7"/>
  <c r="K20" i="7"/>
  <c r="I20" i="7"/>
  <c r="G20" i="7"/>
  <c r="E20" i="7"/>
  <c r="G20" i="14" l="1"/>
  <c r="E20" i="14"/>
  <c r="X21" i="5"/>
  <c r="Y21" i="5" s="1"/>
  <c r="P20" i="14"/>
  <c r="Q20" i="14" s="1"/>
  <c r="G19" i="14"/>
  <c r="N18" i="14"/>
  <c r="O18" i="14" s="1"/>
  <c r="X20" i="12"/>
  <c r="Y20" i="12" s="1"/>
  <c r="X21" i="12"/>
  <c r="Y21" i="12" s="1"/>
  <c r="T21" i="8"/>
  <c r="U21" i="8" s="1"/>
  <c r="W21" i="8" s="1"/>
  <c r="X20" i="5"/>
  <c r="Y20" i="5" s="1"/>
  <c r="E19" i="14"/>
  <c r="X21" i="4"/>
  <c r="Y21" i="4" s="1"/>
  <c r="X20" i="4"/>
  <c r="Y20" i="4" s="1"/>
  <c r="T20" i="8"/>
  <c r="U20" i="8" s="1"/>
  <c r="E21" i="8"/>
  <c r="R20" i="8"/>
  <c r="R21" i="8"/>
  <c r="T19" i="6"/>
  <c r="U19" i="6" s="1"/>
  <c r="T20" i="15"/>
  <c r="U20" i="15" s="1"/>
  <c r="T18" i="6"/>
  <c r="U18" i="6" s="1"/>
  <c r="T19" i="15"/>
  <c r="U19" i="15" s="1"/>
  <c r="P19" i="14"/>
  <c r="Q19" i="14" s="1"/>
  <c r="P18" i="14"/>
  <c r="N20" i="14"/>
  <c r="O20" i="14" s="1"/>
  <c r="N19" i="14"/>
  <c r="O19" i="14" s="1"/>
  <c r="R20" i="14" l="1"/>
  <c r="E20" i="13"/>
  <c r="X19" i="6"/>
  <c r="Y19" i="6" s="1"/>
  <c r="D19" i="13"/>
  <c r="E19" i="13"/>
  <c r="R19" i="14"/>
  <c r="D20" i="13"/>
  <c r="X20" i="15"/>
  <c r="Y20" i="15" s="1"/>
  <c r="W20" i="8"/>
  <c r="S21" i="8"/>
  <c r="F20" i="13"/>
  <c r="S20" i="8"/>
  <c r="F19" i="13"/>
  <c r="X19" i="15"/>
  <c r="Y19" i="15" s="1"/>
  <c r="X18" i="6"/>
  <c r="Y18" i="6" s="1"/>
  <c r="R18" i="14"/>
  <c r="Q18" i="14"/>
  <c r="H20" i="13" l="1"/>
  <c r="K20" i="13" s="1"/>
  <c r="H19" i="13"/>
  <c r="K19" i="13" s="1"/>
  <c r="G19" i="13"/>
  <c r="I19" i="13" s="1"/>
  <c r="V20" i="8"/>
  <c r="V21" i="8"/>
  <c r="G20" i="13"/>
  <c r="I20" i="13" s="1"/>
  <c r="Q13" i="12" l="1"/>
  <c r="G9" i="12" l="1"/>
  <c r="E18" i="7"/>
  <c r="R4" i="15" l="1"/>
  <c r="I19" i="4" l="1"/>
  <c r="O14" i="7"/>
  <c r="O13" i="7"/>
  <c r="O12" i="7"/>
  <c r="O5" i="7"/>
  <c r="O6" i="7"/>
  <c r="E10" i="7" l="1"/>
  <c r="G10" i="7"/>
  <c r="I10" i="7"/>
  <c r="K10" i="7"/>
  <c r="M10" i="7"/>
  <c r="O10" i="7"/>
  <c r="Q10" i="7"/>
  <c r="S10" i="7"/>
  <c r="T10" i="7"/>
  <c r="U10" i="7" s="1"/>
  <c r="E11" i="7"/>
  <c r="G11" i="7"/>
  <c r="I11" i="7"/>
  <c r="K11" i="7"/>
  <c r="M11" i="7"/>
  <c r="O11" i="7"/>
  <c r="Q11" i="7"/>
  <c r="S11" i="7"/>
  <c r="T11" i="7"/>
  <c r="U11" i="7" s="1"/>
  <c r="E15" i="7"/>
  <c r="G15" i="7"/>
  <c r="I15" i="7"/>
  <c r="K15" i="7"/>
  <c r="M15" i="7"/>
  <c r="O15" i="7"/>
  <c r="Q15" i="7"/>
  <c r="S15" i="7"/>
  <c r="T15" i="7"/>
  <c r="U15" i="7" s="1"/>
  <c r="E16" i="7"/>
  <c r="G16" i="7"/>
  <c r="I16" i="7"/>
  <c r="K16" i="7"/>
  <c r="M16" i="7"/>
  <c r="O16" i="7"/>
  <c r="Q16" i="7"/>
  <c r="S16" i="7"/>
  <c r="T16" i="7"/>
  <c r="U16" i="7" s="1"/>
  <c r="G18" i="7"/>
  <c r="I18" i="7"/>
  <c r="K18" i="7"/>
  <c r="M18" i="7"/>
  <c r="O18" i="7"/>
  <c r="Q18" i="7"/>
  <c r="S18" i="7"/>
  <c r="T18" i="7"/>
  <c r="U18" i="7" s="1"/>
  <c r="E19" i="7"/>
  <c r="G19" i="7"/>
  <c r="I19" i="7"/>
  <c r="K19" i="7"/>
  <c r="M19" i="7"/>
  <c r="O19" i="7"/>
  <c r="Q19" i="7"/>
  <c r="S19" i="7"/>
  <c r="T19" i="7"/>
  <c r="U19" i="7" s="1"/>
  <c r="E10" i="2"/>
  <c r="G10" i="2"/>
  <c r="I10" i="2"/>
  <c r="K10" i="2"/>
  <c r="M10" i="2"/>
  <c r="O10" i="2"/>
  <c r="Q10" i="2"/>
  <c r="S10" i="2"/>
  <c r="T10" i="2"/>
  <c r="U10" i="2" s="1"/>
  <c r="E11" i="2"/>
  <c r="G11" i="2"/>
  <c r="I11" i="2"/>
  <c r="K11" i="2"/>
  <c r="M11" i="2"/>
  <c r="O11" i="2"/>
  <c r="Q11" i="2"/>
  <c r="S11" i="2"/>
  <c r="T11" i="2"/>
  <c r="U11" i="2" s="1"/>
  <c r="E15" i="2"/>
  <c r="G15" i="2"/>
  <c r="I15" i="2"/>
  <c r="K15" i="2"/>
  <c r="M15" i="2"/>
  <c r="O15" i="2"/>
  <c r="Q15" i="2"/>
  <c r="S15" i="2"/>
  <c r="T15" i="2"/>
  <c r="U15" i="2" s="1"/>
  <c r="E16" i="2"/>
  <c r="G16" i="2"/>
  <c r="I16" i="2"/>
  <c r="K16" i="2"/>
  <c r="M16" i="2"/>
  <c r="O16" i="2"/>
  <c r="Q16" i="2"/>
  <c r="S16" i="2"/>
  <c r="T16" i="2"/>
  <c r="U16" i="2" s="1"/>
  <c r="E18" i="2"/>
  <c r="G18" i="2"/>
  <c r="I18" i="2"/>
  <c r="K18" i="2"/>
  <c r="M18" i="2"/>
  <c r="O18" i="2"/>
  <c r="Q18" i="2"/>
  <c r="S18" i="2"/>
  <c r="T18" i="2"/>
  <c r="U18" i="2" s="1"/>
  <c r="E19" i="2"/>
  <c r="G19" i="2"/>
  <c r="E18" i="14" s="1"/>
  <c r="I19" i="2"/>
  <c r="K19" i="2"/>
  <c r="M19" i="2"/>
  <c r="I18" i="14" s="1"/>
  <c r="O19" i="2"/>
  <c r="K18" i="14" s="1"/>
  <c r="Q19" i="2"/>
  <c r="S19" i="2"/>
  <c r="M18" i="14" s="1"/>
  <c r="T19" i="2"/>
  <c r="U19" i="2" s="1"/>
  <c r="E10" i="10"/>
  <c r="G10" i="10"/>
  <c r="I10" i="10"/>
  <c r="M10" i="10"/>
  <c r="O10" i="10"/>
  <c r="Q10" i="10"/>
  <c r="S10" i="10"/>
  <c r="T10" i="10"/>
  <c r="U10" i="10" s="1"/>
  <c r="E11" i="10"/>
  <c r="G11" i="10"/>
  <c r="I11" i="10"/>
  <c r="K11" i="10"/>
  <c r="M11" i="10"/>
  <c r="O11" i="10"/>
  <c r="Q11" i="10"/>
  <c r="S11" i="10"/>
  <c r="T11" i="10"/>
  <c r="U11" i="10" s="1"/>
  <c r="E15" i="10"/>
  <c r="G15" i="10"/>
  <c r="I15" i="10"/>
  <c r="K15" i="10"/>
  <c r="M15" i="10"/>
  <c r="O15" i="10"/>
  <c r="Q15" i="10"/>
  <c r="S15" i="10"/>
  <c r="T15" i="10"/>
  <c r="U15" i="10" s="1"/>
  <c r="E16" i="10"/>
  <c r="G16" i="10"/>
  <c r="I16" i="10"/>
  <c r="K16" i="10"/>
  <c r="M16" i="10"/>
  <c r="O16" i="10"/>
  <c r="Q16" i="10"/>
  <c r="S16" i="10"/>
  <c r="U16" i="10"/>
  <c r="E18" i="10"/>
  <c r="G18" i="10"/>
  <c r="I18" i="10"/>
  <c r="K18" i="10"/>
  <c r="M18" i="10"/>
  <c r="O18" i="10"/>
  <c r="Q18" i="10"/>
  <c r="S18" i="10"/>
  <c r="U18" i="10"/>
  <c r="E19" i="10"/>
  <c r="G19" i="10"/>
  <c r="I19" i="10"/>
  <c r="M19" i="10"/>
  <c r="O19" i="10"/>
  <c r="Q19" i="10"/>
  <c r="S19" i="10"/>
  <c r="T19" i="10"/>
  <c r="U19" i="10" s="1"/>
  <c r="G18" i="14" l="1"/>
  <c r="P11" i="8"/>
  <c r="P12" i="8"/>
  <c r="P6" i="8"/>
  <c r="P7" i="8"/>
  <c r="N6" i="8"/>
  <c r="J6" i="8"/>
  <c r="L6" i="8"/>
  <c r="N17" i="15" l="1"/>
  <c r="N18" i="15"/>
  <c r="J4" i="14" l="1"/>
  <c r="T17" i="7" l="1"/>
  <c r="U17" i="7" s="1"/>
  <c r="T17" i="2"/>
  <c r="U17" i="2" s="1"/>
  <c r="T18" i="9"/>
  <c r="U18" i="9" s="1"/>
  <c r="T17" i="9"/>
  <c r="U17" i="9" s="1"/>
  <c r="U17" i="10"/>
  <c r="D16" i="8"/>
  <c r="P18" i="8"/>
  <c r="Q18" i="8" s="1"/>
  <c r="N18" i="8"/>
  <c r="O18" i="8" s="1"/>
  <c r="L18" i="8"/>
  <c r="M18" i="8" s="1"/>
  <c r="J18" i="8"/>
  <c r="K18" i="8" s="1"/>
  <c r="H18" i="8"/>
  <c r="I18" i="8" s="1"/>
  <c r="F18" i="8"/>
  <c r="G18" i="8" s="1"/>
  <c r="D18" i="8"/>
  <c r="P17" i="8"/>
  <c r="Q17" i="8" s="1"/>
  <c r="N17" i="8"/>
  <c r="O17" i="8" s="1"/>
  <c r="L17" i="8"/>
  <c r="M17" i="8" s="1"/>
  <c r="J17" i="8"/>
  <c r="K17" i="8" s="1"/>
  <c r="H17" i="8"/>
  <c r="I17" i="8" s="1"/>
  <c r="F17" i="8"/>
  <c r="G17" i="8" s="1"/>
  <c r="D17" i="8"/>
  <c r="D16" i="14"/>
  <c r="D16" i="15"/>
  <c r="E16" i="15" s="1"/>
  <c r="V17" i="15"/>
  <c r="W17" i="15" s="1"/>
  <c r="T17" i="15"/>
  <c r="U17" i="15" s="1"/>
  <c r="R17" i="15"/>
  <c r="S17" i="15" s="1"/>
  <c r="P17" i="15"/>
  <c r="Q17" i="15" s="1"/>
  <c r="O17" i="15"/>
  <c r="L17" i="15"/>
  <c r="M17" i="15" s="1"/>
  <c r="J17" i="15"/>
  <c r="K17" i="15" s="1"/>
  <c r="H17" i="15"/>
  <c r="I17" i="15" s="1"/>
  <c r="F17" i="15"/>
  <c r="G17" i="15" s="1"/>
  <c r="D17" i="15"/>
  <c r="E17" i="15" s="1"/>
  <c r="V16" i="15"/>
  <c r="W16" i="15" s="1"/>
  <c r="T16" i="15"/>
  <c r="U16" i="15" s="1"/>
  <c r="R16" i="15"/>
  <c r="S16" i="15" s="1"/>
  <c r="P16" i="15"/>
  <c r="Q16" i="15" s="1"/>
  <c r="N16" i="15"/>
  <c r="O16" i="15" s="1"/>
  <c r="L16" i="15"/>
  <c r="M16" i="15" s="1"/>
  <c r="J16" i="15"/>
  <c r="K16" i="15" s="1"/>
  <c r="H16" i="15"/>
  <c r="I16" i="15" s="1"/>
  <c r="F16" i="15"/>
  <c r="G16" i="15" s="1"/>
  <c r="L17" i="14"/>
  <c r="J17" i="14"/>
  <c r="H17" i="14"/>
  <c r="F17" i="14"/>
  <c r="D17" i="14"/>
  <c r="L16" i="14"/>
  <c r="J16" i="14"/>
  <c r="H16" i="14"/>
  <c r="F16" i="14"/>
  <c r="X18" i="12"/>
  <c r="Y18" i="12" s="1"/>
  <c r="W18" i="12"/>
  <c r="U18" i="12"/>
  <c r="Q18" i="12"/>
  <c r="O18" i="12"/>
  <c r="M18" i="12"/>
  <c r="K18" i="12"/>
  <c r="I18" i="12"/>
  <c r="G18" i="12"/>
  <c r="E18" i="12"/>
  <c r="X17" i="12"/>
  <c r="Y17" i="12" s="1"/>
  <c r="W17" i="12"/>
  <c r="U17" i="12"/>
  <c r="S17" i="12"/>
  <c r="Q17" i="12"/>
  <c r="O17" i="12"/>
  <c r="M17" i="12"/>
  <c r="K17" i="12"/>
  <c r="I17" i="12"/>
  <c r="G17" i="12"/>
  <c r="S18" i="3"/>
  <c r="Q18" i="3"/>
  <c r="O18" i="3"/>
  <c r="M18" i="3"/>
  <c r="K18" i="3"/>
  <c r="I18" i="3"/>
  <c r="G18" i="3"/>
  <c r="E18" i="3"/>
  <c r="S17" i="3"/>
  <c r="Q17" i="3"/>
  <c r="O17" i="3"/>
  <c r="M17" i="3"/>
  <c r="K17" i="3"/>
  <c r="I17" i="3"/>
  <c r="G17" i="3"/>
  <c r="E17" i="3"/>
  <c r="E19" i="3"/>
  <c r="G19" i="3"/>
  <c r="I19" i="3"/>
  <c r="K19" i="3"/>
  <c r="M19" i="3"/>
  <c r="O19" i="3"/>
  <c r="Q19" i="3"/>
  <c r="S19" i="3"/>
  <c r="U19" i="3"/>
  <c r="W19" i="3"/>
  <c r="X19" i="3"/>
  <c r="Y19" i="3"/>
  <c r="E11" i="3"/>
  <c r="S17" i="10"/>
  <c r="Q17" i="10"/>
  <c r="O17" i="10"/>
  <c r="M17" i="10"/>
  <c r="K17" i="10"/>
  <c r="I17" i="10"/>
  <c r="G17" i="10"/>
  <c r="E17" i="10"/>
  <c r="S18" i="9"/>
  <c r="Q18" i="9"/>
  <c r="O18" i="9"/>
  <c r="M18" i="9"/>
  <c r="K18" i="9"/>
  <c r="I18" i="9"/>
  <c r="G18" i="9"/>
  <c r="E18" i="9"/>
  <c r="S17" i="9"/>
  <c r="Q17" i="9"/>
  <c r="O17" i="9"/>
  <c r="M17" i="9"/>
  <c r="K17" i="9"/>
  <c r="I17" i="9"/>
  <c r="G17" i="9"/>
  <c r="G22" i="9" s="1"/>
  <c r="E17" i="9"/>
  <c r="E22" i="9" s="1"/>
  <c r="E19" i="9"/>
  <c r="G19" i="9"/>
  <c r="I19" i="9"/>
  <c r="K19" i="9"/>
  <c r="M19" i="9"/>
  <c r="O19" i="9"/>
  <c r="Q19" i="9"/>
  <c r="S19" i="9"/>
  <c r="T19" i="9"/>
  <c r="U19" i="9" s="1"/>
  <c r="D4" i="14"/>
  <c r="U18" i="4"/>
  <c r="U17" i="4"/>
  <c r="W18" i="4"/>
  <c r="W17" i="4"/>
  <c r="X17" i="4"/>
  <c r="Y17" i="4" s="1"/>
  <c r="X16" i="4"/>
  <c r="Y16" i="4" s="1"/>
  <c r="X18" i="4"/>
  <c r="Y18" i="4" s="1"/>
  <c r="P16" i="14" l="1"/>
  <c r="R16" i="14" s="1"/>
  <c r="N17" i="14"/>
  <c r="O17" i="14" s="1"/>
  <c r="N16" i="14"/>
  <c r="O16" i="14" s="1"/>
  <c r="R17" i="8"/>
  <c r="S17" i="8" s="1"/>
  <c r="T17" i="8"/>
  <c r="U17" i="8" s="1"/>
  <c r="W17" i="8" s="1"/>
  <c r="R18" i="8"/>
  <c r="F17" i="13" s="1"/>
  <c r="T18" i="8"/>
  <c r="U18" i="8" s="1"/>
  <c r="W18" i="8" s="1"/>
  <c r="E17" i="8"/>
  <c r="E18" i="8"/>
  <c r="X16" i="15"/>
  <c r="Y16" i="15" s="1"/>
  <c r="X17" i="15"/>
  <c r="Y17" i="15" s="1"/>
  <c r="P17" i="14"/>
  <c r="S18" i="4"/>
  <c r="O18" i="4"/>
  <c r="M18" i="4"/>
  <c r="K18" i="4"/>
  <c r="I18" i="4"/>
  <c r="G18" i="4"/>
  <c r="E18" i="4"/>
  <c r="S17" i="4"/>
  <c r="Q17" i="4"/>
  <c r="O17" i="4"/>
  <c r="M17" i="4"/>
  <c r="K17" i="4"/>
  <c r="I17" i="4"/>
  <c r="G17" i="4"/>
  <c r="S17" i="7"/>
  <c r="Q17" i="7"/>
  <c r="O17" i="7"/>
  <c r="K17" i="7"/>
  <c r="I17" i="7"/>
  <c r="G17" i="7"/>
  <c r="E17" i="7"/>
  <c r="X17" i="5"/>
  <c r="D16" i="13" s="1"/>
  <c r="X16" i="5"/>
  <c r="Y16" i="5" s="1"/>
  <c r="W18" i="5"/>
  <c r="X18" i="5"/>
  <c r="D17" i="13" s="1"/>
  <c r="W17" i="5"/>
  <c r="S18" i="5"/>
  <c r="Q18" i="5"/>
  <c r="M18" i="5"/>
  <c r="K18" i="5"/>
  <c r="I18" i="5"/>
  <c r="G18" i="5"/>
  <c r="E18" i="5"/>
  <c r="S17" i="5"/>
  <c r="Q17" i="5"/>
  <c r="O17" i="5"/>
  <c r="M17" i="5"/>
  <c r="K17" i="5"/>
  <c r="I17" i="5"/>
  <c r="G17" i="5"/>
  <c r="E17" i="5"/>
  <c r="E17" i="2"/>
  <c r="M17" i="14"/>
  <c r="K17" i="14"/>
  <c r="I17" i="14"/>
  <c r="G17" i="14"/>
  <c r="S17" i="2"/>
  <c r="M16" i="14" s="1"/>
  <c r="Q17" i="2"/>
  <c r="O17" i="2"/>
  <c r="K16" i="14" s="1"/>
  <c r="M17" i="2"/>
  <c r="I16" i="14" s="1"/>
  <c r="K17" i="2"/>
  <c r="I17" i="2"/>
  <c r="G17" i="2"/>
  <c r="G16" i="14" l="1"/>
  <c r="Q16" i="14"/>
  <c r="E16" i="14"/>
  <c r="Y18" i="5"/>
  <c r="E17" i="13" s="1"/>
  <c r="H17" i="13"/>
  <c r="K17" i="13" s="1"/>
  <c r="Y17" i="5"/>
  <c r="E16" i="13" s="1"/>
  <c r="E17" i="14"/>
  <c r="F16" i="13"/>
  <c r="S18" i="8"/>
  <c r="G17" i="13" s="1"/>
  <c r="G16" i="13"/>
  <c r="V17" i="8"/>
  <c r="R17" i="14"/>
  <c r="Q17" i="14"/>
  <c r="T5" i="10"/>
  <c r="T14" i="10"/>
  <c r="T13" i="10"/>
  <c r="T12" i="10"/>
  <c r="T9" i="10"/>
  <c r="T8" i="10"/>
  <c r="T7" i="10"/>
  <c r="T6" i="10"/>
  <c r="E7" i="12"/>
  <c r="X5" i="12"/>
  <c r="G16" i="12"/>
  <c r="G19" i="12"/>
  <c r="H19" i="8"/>
  <c r="H16" i="13" l="1"/>
  <c r="K16" i="13" s="1"/>
  <c r="I17" i="13"/>
  <c r="I16" i="13"/>
  <c r="V18" i="8"/>
  <c r="R6" i="15"/>
  <c r="J13" i="15" l="1"/>
  <c r="L13" i="15"/>
  <c r="U14" i="12"/>
  <c r="M12" i="2" l="1"/>
  <c r="S10" i="12"/>
  <c r="S8" i="10"/>
  <c r="W5" i="12"/>
  <c r="Y18" i="11"/>
  <c r="S19" i="4"/>
  <c r="K19" i="4"/>
  <c r="G6" i="2"/>
  <c r="O19" i="4" l="1"/>
  <c r="F5" i="8"/>
  <c r="D5" i="8"/>
  <c r="H5" i="11"/>
  <c r="X5" i="11"/>
  <c r="W6" i="12" l="1"/>
  <c r="U5" i="10" l="1"/>
  <c r="U5" i="7"/>
  <c r="S14" i="7"/>
  <c r="S13" i="7"/>
  <c r="S12" i="7"/>
  <c r="S9" i="7"/>
  <c r="S8" i="7"/>
  <c r="S7" i="7"/>
  <c r="S6" i="7"/>
  <c r="S5" i="7"/>
  <c r="O9" i="7"/>
  <c r="O8" i="7"/>
  <c r="O7" i="7"/>
  <c r="M13" i="7"/>
  <c r="M12" i="7"/>
  <c r="M9" i="7"/>
  <c r="M8" i="7"/>
  <c r="I14" i="7"/>
  <c r="I13" i="7"/>
  <c r="I12" i="7"/>
  <c r="I9" i="7"/>
  <c r="I8" i="7"/>
  <c r="I7" i="7"/>
  <c r="I6" i="7"/>
  <c r="I5" i="7"/>
  <c r="E14" i="7"/>
  <c r="E13" i="7"/>
  <c r="E12" i="7"/>
  <c r="E9" i="7"/>
  <c r="E8" i="7"/>
  <c r="E7" i="7"/>
  <c r="E6" i="7"/>
  <c r="E5" i="7"/>
  <c r="T14" i="2"/>
  <c r="U14" i="2" s="1"/>
  <c r="T13" i="2"/>
  <c r="U13" i="2" s="1"/>
  <c r="U12" i="2"/>
  <c r="T9" i="2"/>
  <c r="U9" i="2" s="1"/>
  <c r="T8" i="2"/>
  <c r="U8" i="2" s="1"/>
  <c r="T7" i="2"/>
  <c r="U7" i="2" s="1"/>
  <c r="T6" i="2"/>
  <c r="U6" i="2" s="1"/>
  <c r="T5" i="2"/>
  <c r="U5" i="2" s="1"/>
  <c r="M15" i="14"/>
  <c r="M14" i="14"/>
  <c r="S14" i="2"/>
  <c r="M13" i="14" s="1"/>
  <c r="S13" i="2"/>
  <c r="M12" i="14" s="1"/>
  <c r="S12" i="2"/>
  <c r="M11" i="14" s="1"/>
  <c r="M10" i="14"/>
  <c r="M9" i="14"/>
  <c r="S9" i="2"/>
  <c r="M8" i="14" s="1"/>
  <c r="S8" i="2"/>
  <c r="M7" i="14" s="1"/>
  <c r="S7" i="2"/>
  <c r="M6" i="14" s="1"/>
  <c r="S6" i="2"/>
  <c r="M5" i="14" s="1"/>
  <c r="S5" i="2"/>
  <c r="M4" i="14" s="1"/>
  <c r="K15" i="14"/>
  <c r="K14" i="14"/>
  <c r="O14" i="2"/>
  <c r="K13" i="14" s="1"/>
  <c r="O13" i="2"/>
  <c r="K12" i="14" s="1"/>
  <c r="O12" i="2"/>
  <c r="K11" i="14" s="1"/>
  <c r="K10" i="14"/>
  <c r="K9" i="14"/>
  <c r="O9" i="2"/>
  <c r="K8" i="14" s="1"/>
  <c r="O8" i="2"/>
  <c r="K7" i="14" s="1"/>
  <c r="O7" i="2"/>
  <c r="K6" i="14" s="1"/>
  <c r="O6" i="2"/>
  <c r="K5" i="14" s="1"/>
  <c r="O5" i="2"/>
  <c r="I15" i="14"/>
  <c r="I14" i="14"/>
  <c r="M14" i="2"/>
  <c r="I13" i="14" s="1"/>
  <c r="M13" i="2"/>
  <c r="I12" i="14" s="1"/>
  <c r="I11" i="14"/>
  <c r="I9" i="14"/>
  <c r="M9" i="2"/>
  <c r="I8" i="14" s="1"/>
  <c r="M8" i="2"/>
  <c r="I7" i="14" s="1"/>
  <c r="M7" i="2"/>
  <c r="I6" i="14" s="1"/>
  <c r="M6" i="2"/>
  <c r="I5" i="14" s="1"/>
  <c r="K14" i="2"/>
  <c r="K13" i="2"/>
  <c r="K12" i="2"/>
  <c r="K9" i="2"/>
  <c r="K8" i="2"/>
  <c r="K7" i="2"/>
  <c r="K6" i="2"/>
  <c r="M5" i="2"/>
  <c r="K5" i="2"/>
  <c r="I6" i="2"/>
  <c r="I5" i="2"/>
  <c r="E6" i="2"/>
  <c r="E5" i="14" s="1"/>
  <c r="G14" i="2"/>
  <c r="G13" i="2"/>
  <c r="G12" i="2"/>
  <c r="G9" i="2"/>
  <c r="G8" i="2"/>
  <c r="G7" i="2"/>
  <c r="K21" i="13"/>
  <c r="V18" i="15"/>
  <c r="W18" i="15" s="1"/>
  <c r="T18" i="15"/>
  <c r="U18" i="15" s="1"/>
  <c r="R18" i="15"/>
  <c r="S18" i="15" s="1"/>
  <c r="P18" i="15"/>
  <c r="Q18" i="15" s="1"/>
  <c r="O18" i="15"/>
  <c r="L18" i="15"/>
  <c r="M18" i="15" s="1"/>
  <c r="J18" i="15"/>
  <c r="K18" i="15" s="1"/>
  <c r="H18" i="15"/>
  <c r="I18" i="15" s="1"/>
  <c r="F18" i="15"/>
  <c r="G18" i="15" s="1"/>
  <c r="D18" i="15"/>
  <c r="E18" i="15" s="1"/>
  <c r="V15" i="15"/>
  <c r="W15" i="15" s="1"/>
  <c r="T15" i="15"/>
  <c r="U15" i="15" s="1"/>
  <c r="R15" i="15"/>
  <c r="S15" i="15" s="1"/>
  <c r="P15" i="15"/>
  <c r="Q15" i="15" s="1"/>
  <c r="N15" i="15"/>
  <c r="O15" i="15" s="1"/>
  <c r="L15" i="15"/>
  <c r="M15" i="15" s="1"/>
  <c r="J15" i="15"/>
  <c r="K15" i="15" s="1"/>
  <c r="H15" i="15"/>
  <c r="I15" i="15" s="1"/>
  <c r="F15" i="15"/>
  <c r="G15" i="15" s="1"/>
  <c r="D15" i="15"/>
  <c r="E15" i="15" s="1"/>
  <c r="V14" i="15"/>
  <c r="W14" i="15" s="1"/>
  <c r="T14" i="15"/>
  <c r="U14" i="15" s="1"/>
  <c r="R14" i="15"/>
  <c r="S14" i="15" s="1"/>
  <c r="P14" i="15"/>
  <c r="Q14" i="15" s="1"/>
  <c r="N14" i="15"/>
  <c r="O14" i="15" s="1"/>
  <c r="L14" i="15"/>
  <c r="M14" i="15" s="1"/>
  <c r="J14" i="15"/>
  <c r="K14" i="15" s="1"/>
  <c r="H14" i="15"/>
  <c r="I14" i="15" s="1"/>
  <c r="F14" i="15"/>
  <c r="G14" i="15" s="1"/>
  <c r="D14" i="15"/>
  <c r="E14" i="15" s="1"/>
  <c r="V13" i="15"/>
  <c r="W13" i="15" s="1"/>
  <c r="T13" i="15"/>
  <c r="U13" i="15" s="1"/>
  <c r="R13" i="15"/>
  <c r="S13" i="15" s="1"/>
  <c r="P13" i="15"/>
  <c r="Q13" i="15" s="1"/>
  <c r="N13" i="15"/>
  <c r="O13" i="15" s="1"/>
  <c r="M13" i="15"/>
  <c r="K13" i="15"/>
  <c r="H13" i="15"/>
  <c r="I13" i="15" s="1"/>
  <c r="F13" i="15"/>
  <c r="G13" i="15" s="1"/>
  <c r="D13" i="15"/>
  <c r="V12" i="15"/>
  <c r="W12" i="15" s="1"/>
  <c r="T12" i="15"/>
  <c r="U12" i="15" s="1"/>
  <c r="S12" i="15"/>
  <c r="P12" i="15"/>
  <c r="Q12" i="15" s="1"/>
  <c r="N12" i="15"/>
  <c r="O12" i="15" s="1"/>
  <c r="L12" i="15"/>
  <c r="M12" i="15" s="1"/>
  <c r="J12" i="15"/>
  <c r="K12" i="15" s="1"/>
  <c r="H12" i="15"/>
  <c r="I12" i="15" s="1"/>
  <c r="F12" i="15"/>
  <c r="G12" i="15" s="1"/>
  <c r="D12" i="15"/>
  <c r="E12" i="15" s="1"/>
  <c r="V11" i="15"/>
  <c r="W11" i="15" s="1"/>
  <c r="T11" i="15"/>
  <c r="U11" i="15" s="1"/>
  <c r="R11" i="15"/>
  <c r="S11" i="15" s="1"/>
  <c r="P11" i="15"/>
  <c r="Q11" i="15" s="1"/>
  <c r="N11" i="15"/>
  <c r="O11" i="15" s="1"/>
  <c r="L11" i="15"/>
  <c r="M11" i="15" s="1"/>
  <c r="J11" i="15"/>
  <c r="K11" i="15" s="1"/>
  <c r="H11" i="15"/>
  <c r="I11" i="15" s="1"/>
  <c r="F11" i="15"/>
  <c r="G11" i="15" s="1"/>
  <c r="D11" i="15"/>
  <c r="E11" i="15" s="1"/>
  <c r="V10" i="15"/>
  <c r="W10" i="15" s="1"/>
  <c r="T10" i="15"/>
  <c r="U10" i="15" s="1"/>
  <c r="R10" i="15"/>
  <c r="S10" i="15" s="1"/>
  <c r="P10" i="15"/>
  <c r="Q10" i="15" s="1"/>
  <c r="N10" i="15"/>
  <c r="O10" i="15" s="1"/>
  <c r="L10" i="15"/>
  <c r="M10" i="15" s="1"/>
  <c r="J10" i="15"/>
  <c r="K10" i="15" s="1"/>
  <c r="H10" i="15"/>
  <c r="I10" i="15" s="1"/>
  <c r="F10" i="15"/>
  <c r="G10" i="15" s="1"/>
  <c r="D10" i="15"/>
  <c r="E10" i="15" s="1"/>
  <c r="V9" i="15"/>
  <c r="W9" i="15" s="1"/>
  <c r="T9" i="15"/>
  <c r="U9" i="15" s="1"/>
  <c r="R9" i="15"/>
  <c r="S9" i="15" s="1"/>
  <c r="P9" i="15"/>
  <c r="Q9" i="15" s="1"/>
  <c r="N9" i="15"/>
  <c r="O9" i="15" s="1"/>
  <c r="L9" i="15"/>
  <c r="M9" i="15" s="1"/>
  <c r="J9" i="15"/>
  <c r="K9" i="15" s="1"/>
  <c r="H9" i="15"/>
  <c r="I9" i="15" s="1"/>
  <c r="F9" i="15"/>
  <c r="G9" i="15" s="1"/>
  <c r="D9" i="15"/>
  <c r="V8" i="15"/>
  <c r="W8" i="15" s="1"/>
  <c r="T8" i="15"/>
  <c r="U8" i="15" s="1"/>
  <c r="R8" i="15"/>
  <c r="S8" i="15" s="1"/>
  <c r="P8" i="15"/>
  <c r="Q8" i="15" s="1"/>
  <c r="N8" i="15"/>
  <c r="O8" i="15" s="1"/>
  <c r="L8" i="15"/>
  <c r="M8" i="15" s="1"/>
  <c r="J8" i="15"/>
  <c r="K8" i="15" s="1"/>
  <c r="H8" i="15"/>
  <c r="I8" i="15" s="1"/>
  <c r="F8" i="15"/>
  <c r="G8" i="15" s="1"/>
  <c r="D8" i="15"/>
  <c r="E8" i="15" s="1"/>
  <c r="V7" i="15"/>
  <c r="W7" i="15" s="1"/>
  <c r="T7" i="15"/>
  <c r="U7" i="15" s="1"/>
  <c r="R7" i="15"/>
  <c r="S7" i="15" s="1"/>
  <c r="P7" i="15"/>
  <c r="Q7" i="15" s="1"/>
  <c r="N7" i="15"/>
  <c r="O7" i="15" s="1"/>
  <c r="L7" i="15"/>
  <c r="M7" i="15" s="1"/>
  <c r="J7" i="15"/>
  <c r="K7" i="15" s="1"/>
  <c r="H7" i="15"/>
  <c r="I7" i="15" s="1"/>
  <c r="F7" i="15"/>
  <c r="G7" i="15" s="1"/>
  <c r="D7" i="15"/>
  <c r="E7" i="15" s="1"/>
  <c r="V6" i="15"/>
  <c r="W6" i="15" s="1"/>
  <c r="T6" i="15"/>
  <c r="U6" i="15" s="1"/>
  <c r="S6" i="15"/>
  <c r="P6" i="15"/>
  <c r="Q6" i="15" s="1"/>
  <c r="N6" i="15"/>
  <c r="O6" i="15" s="1"/>
  <c r="L6" i="15"/>
  <c r="M6" i="15" s="1"/>
  <c r="J6" i="15"/>
  <c r="K6" i="15" s="1"/>
  <c r="H6" i="15"/>
  <c r="I6" i="15" s="1"/>
  <c r="F6" i="15"/>
  <c r="D6" i="15"/>
  <c r="E6" i="15" s="1"/>
  <c r="V5" i="15"/>
  <c r="W5" i="15" s="1"/>
  <c r="T5" i="15"/>
  <c r="U5" i="15" s="1"/>
  <c r="R5" i="15"/>
  <c r="S5" i="15" s="1"/>
  <c r="P5" i="15"/>
  <c r="Q5" i="15" s="1"/>
  <c r="N5" i="15"/>
  <c r="O5" i="15" s="1"/>
  <c r="M5" i="15"/>
  <c r="J5" i="15"/>
  <c r="K5" i="15" s="1"/>
  <c r="H5" i="15"/>
  <c r="I5" i="15" s="1"/>
  <c r="F5" i="15"/>
  <c r="G5" i="15" s="1"/>
  <c r="D5" i="15"/>
  <c r="V4" i="15"/>
  <c r="W4" i="15" s="1"/>
  <c r="T4" i="15"/>
  <c r="U4" i="15" s="1"/>
  <c r="S4" i="15"/>
  <c r="P4" i="15"/>
  <c r="Q4" i="15" s="1"/>
  <c r="N4" i="15"/>
  <c r="O4" i="15" s="1"/>
  <c r="M4" i="15"/>
  <c r="J4" i="15"/>
  <c r="K4" i="15" s="1"/>
  <c r="H4" i="15"/>
  <c r="I4" i="15" s="1"/>
  <c r="F4" i="15"/>
  <c r="G4" i="15" s="1"/>
  <c r="D4" i="15"/>
  <c r="E4" i="15" s="1"/>
  <c r="L15" i="14"/>
  <c r="J15" i="14"/>
  <c r="H15" i="14"/>
  <c r="F15" i="14"/>
  <c r="D15" i="14"/>
  <c r="L14" i="14"/>
  <c r="J14" i="14"/>
  <c r="H14" i="14"/>
  <c r="F14" i="14"/>
  <c r="D14" i="14"/>
  <c r="L13" i="14"/>
  <c r="J13" i="14"/>
  <c r="H13" i="14"/>
  <c r="F13" i="14"/>
  <c r="D13" i="14"/>
  <c r="L12" i="14"/>
  <c r="J12" i="14"/>
  <c r="H12" i="14"/>
  <c r="F12" i="14"/>
  <c r="D12" i="14"/>
  <c r="L11" i="14"/>
  <c r="J11" i="14"/>
  <c r="H11" i="14"/>
  <c r="F11" i="14"/>
  <c r="D11" i="14"/>
  <c r="L10" i="14"/>
  <c r="J10" i="14"/>
  <c r="H10" i="14"/>
  <c r="F10" i="14"/>
  <c r="D10" i="14"/>
  <c r="L9" i="14"/>
  <c r="J9" i="14"/>
  <c r="H9" i="14"/>
  <c r="F9" i="14"/>
  <c r="D9" i="14"/>
  <c r="L8" i="14"/>
  <c r="J8" i="14"/>
  <c r="H8" i="14"/>
  <c r="F8" i="14"/>
  <c r="D8" i="14"/>
  <c r="L7" i="14"/>
  <c r="J7" i="14"/>
  <c r="H7" i="14"/>
  <c r="F7" i="14"/>
  <c r="D7" i="14"/>
  <c r="L6" i="14"/>
  <c r="J6" i="14"/>
  <c r="H6" i="14"/>
  <c r="F6" i="14"/>
  <c r="D6" i="14"/>
  <c r="L5" i="14"/>
  <c r="J5" i="14"/>
  <c r="H5" i="14"/>
  <c r="F5" i="14"/>
  <c r="D5" i="14"/>
  <c r="L4" i="14"/>
  <c r="H4" i="14"/>
  <c r="F4" i="14"/>
  <c r="X19" i="12"/>
  <c r="Y19" i="12" s="1"/>
  <c r="W19" i="12"/>
  <c r="U19" i="12"/>
  <c r="S19" i="12"/>
  <c r="Q19" i="12"/>
  <c r="O19" i="12"/>
  <c r="M19" i="12"/>
  <c r="K19" i="12"/>
  <c r="I19" i="12"/>
  <c r="E19" i="12"/>
  <c r="X16" i="12"/>
  <c r="Y16" i="12" s="1"/>
  <c r="W16" i="12"/>
  <c r="U16" i="12"/>
  <c r="S16" i="12"/>
  <c r="Q16" i="12"/>
  <c r="O16" i="12"/>
  <c r="M16" i="12"/>
  <c r="K16" i="12"/>
  <c r="I16" i="12"/>
  <c r="E16" i="12"/>
  <c r="X15" i="12"/>
  <c r="Y15" i="12" s="1"/>
  <c r="W15" i="12"/>
  <c r="U15" i="12"/>
  <c r="S15" i="12"/>
  <c r="Q15" i="12"/>
  <c r="O15" i="12"/>
  <c r="M15" i="12"/>
  <c r="K15" i="12"/>
  <c r="I15" i="12"/>
  <c r="G15" i="12"/>
  <c r="E15" i="12"/>
  <c r="Y14" i="12"/>
  <c r="W14" i="12"/>
  <c r="S14" i="12"/>
  <c r="Q14" i="12"/>
  <c r="O14" i="12"/>
  <c r="M14" i="12"/>
  <c r="K14" i="12"/>
  <c r="I14" i="12"/>
  <c r="G14" i="12"/>
  <c r="E14" i="12"/>
  <c r="X13" i="12"/>
  <c r="Y13" i="12" s="1"/>
  <c r="W13" i="12"/>
  <c r="U13" i="12"/>
  <c r="S13" i="12"/>
  <c r="O13" i="12"/>
  <c r="M13" i="12"/>
  <c r="K13" i="12"/>
  <c r="I13" i="12"/>
  <c r="G13" i="12"/>
  <c r="E13" i="12"/>
  <c r="X12" i="12"/>
  <c r="Y12" i="12" s="1"/>
  <c r="W12" i="12"/>
  <c r="U12" i="12"/>
  <c r="S12" i="12"/>
  <c r="Q12" i="12"/>
  <c r="O12" i="12"/>
  <c r="M12" i="12"/>
  <c r="K12" i="12"/>
  <c r="I12" i="12"/>
  <c r="G12" i="12"/>
  <c r="E12" i="12"/>
  <c r="X11" i="12"/>
  <c r="Y11" i="12" s="1"/>
  <c r="W11" i="12"/>
  <c r="U11" i="12"/>
  <c r="S11" i="12"/>
  <c r="Q11" i="12"/>
  <c r="O11" i="12"/>
  <c r="M11" i="12"/>
  <c r="K11" i="12"/>
  <c r="I11" i="12"/>
  <c r="G11" i="12"/>
  <c r="E11" i="12"/>
  <c r="X10" i="12"/>
  <c r="Y10" i="12" s="1"/>
  <c r="W10" i="12"/>
  <c r="U10" i="12"/>
  <c r="Q10" i="12"/>
  <c r="O10" i="12"/>
  <c r="M10" i="12"/>
  <c r="K10" i="12"/>
  <c r="I10" i="12"/>
  <c r="G10" i="12"/>
  <c r="E10" i="12"/>
  <c r="X9" i="12"/>
  <c r="Y9" i="12" s="1"/>
  <c r="W9" i="12"/>
  <c r="U9" i="12"/>
  <c r="S9" i="12"/>
  <c r="Q9" i="12"/>
  <c r="O9" i="12"/>
  <c r="M9" i="12"/>
  <c r="K9" i="12"/>
  <c r="I9" i="12"/>
  <c r="E9" i="12"/>
  <c r="X8" i="12"/>
  <c r="Y8" i="12" s="1"/>
  <c r="W8" i="12"/>
  <c r="U8" i="12"/>
  <c r="S8" i="12"/>
  <c r="Q8" i="12"/>
  <c r="O8" i="12"/>
  <c r="M8" i="12"/>
  <c r="K8" i="12"/>
  <c r="I8" i="12"/>
  <c r="G8" i="12"/>
  <c r="E8" i="12"/>
  <c r="X7" i="12"/>
  <c r="Y7" i="12" s="1"/>
  <c r="W7" i="12"/>
  <c r="U7" i="12"/>
  <c r="S7" i="12"/>
  <c r="Q7" i="12"/>
  <c r="O7" i="12"/>
  <c r="M7" i="12"/>
  <c r="K7" i="12"/>
  <c r="I7" i="12"/>
  <c r="G7" i="12"/>
  <c r="X6" i="12"/>
  <c r="U6" i="12"/>
  <c r="S6" i="12"/>
  <c r="Q6" i="12"/>
  <c r="O6" i="12"/>
  <c r="M6" i="12"/>
  <c r="K6" i="12"/>
  <c r="I6" i="12"/>
  <c r="G6" i="12"/>
  <c r="E6" i="12"/>
  <c r="Y5" i="12"/>
  <c r="U5" i="12"/>
  <c r="S5" i="12"/>
  <c r="Q5" i="12"/>
  <c r="O5" i="12"/>
  <c r="M5" i="12"/>
  <c r="K5" i="12"/>
  <c r="I5" i="12"/>
  <c r="G5" i="12"/>
  <c r="E5" i="12"/>
  <c r="V17" i="6"/>
  <c r="W17" i="6" s="1"/>
  <c r="T17" i="6"/>
  <c r="U17" i="6" s="1"/>
  <c r="R17" i="6"/>
  <c r="S17" i="6" s="1"/>
  <c r="P17" i="6"/>
  <c r="Q17" i="6" s="1"/>
  <c r="N17" i="6"/>
  <c r="O17" i="6" s="1"/>
  <c r="L17" i="6"/>
  <c r="M17" i="6" s="1"/>
  <c r="J17" i="6"/>
  <c r="K17" i="6" s="1"/>
  <c r="H17" i="6"/>
  <c r="I17" i="6" s="1"/>
  <c r="F17" i="6"/>
  <c r="G17" i="6" s="1"/>
  <c r="D17" i="6"/>
  <c r="E17" i="6" s="1"/>
  <c r="V16" i="6"/>
  <c r="W16" i="6" s="1"/>
  <c r="T16" i="6"/>
  <c r="U16" i="6" s="1"/>
  <c r="R16" i="6"/>
  <c r="S16" i="6" s="1"/>
  <c r="P16" i="6"/>
  <c r="Q16" i="6" s="1"/>
  <c r="N16" i="6"/>
  <c r="O16" i="6" s="1"/>
  <c r="L16" i="6"/>
  <c r="M16" i="6" s="1"/>
  <c r="J16" i="6"/>
  <c r="K16" i="6" s="1"/>
  <c r="H16" i="6"/>
  <c r="I16" i="6" s="1"/>
  <c r="F16" i="6"/>
  <c r="G16" i="6" s="1"/>
  <c r="D16" i="6"/>
  <c r="E16" i="6" s="1"/>
  <c r="V15" i="6"/>
  <c r="W15" i="6" s="1"/>
  <c r="T15" i="6"/>
  <c r="U15" i="6" s="1"/>
  <c r="R15" i="6"/>
  <c r="S15" i="6" s="1"/>
  <c r="P15" i="6"/>
  <c r="Q15" i="6" s="1"/>
  <c r="N15" i="6"/>
  <c r="O15" i="6" s="1"/>
  <c r="L15" i="6"/>
  <c r="M15" i="6" s="1"/>
  <c r="J15" i="6"/>
  <c r="K15" i="6" s="1"/>
  <c r="H15" i="6"/>
  <c r="I15" i="6" s="1"/>
  <c r="F15" i="6"/>
  <c r="G15" i="6" s="1"/>
  <c r="D15" i="6"/>
  <c r="E15" i="6" s="1"/>
  <c r="V14" i="6"/>
  <c r="W14" i="6" s="1"/>
  <c r="T14" i="6"/>
  <c r="U14" i="6" s="1"/>
  <c r="R14" i="6"/>
  <c r="S14" i="6" s="1"/>
  <c r="P14" i="6"/>
  <c r="Q14" i="6" s="1"/>
  <c r="N14" i="6"/>
  <c r="O14" i="6" s="1"/>
  <c r="L14" i="6"/>
  <c r="M14" i="6" s="1"/>
  <c r="J14" i="6"/>
  <c r="K14" i="6" s="1"/>
  <c r="H14" i="6"/>
  <c r="I14" i="6" s="1"/>
  <c r="F14" i="6"/>
  <c r="G14" i="6" s="1"/>
  <c r="D14" i="6"/>
  <c r="E14" i="6" s="1"/>
  <c r="V13" i="6"/>
  <c r="W13" i="6" s="1"/>
  <c r="T13" i="6"/>
  <c r="U13" i="6" s="1"/>
  <c r="R13" i="6"/>
  <c r="S13" i="6" s="1"/>
  <c r="P13" i="6"/>
  <c r="Q13" i="6" s="1"/>
  <c r="N13" i="6"/>
  <c r="O13" i="6" s="1"/>
  <c r="L13" i="6"/>
  <c r="M13" i="6" s="1"/>
  <c r="J13" i="6"/>
  <c r="K13" i="6" s="1"/>
  <c r="H13" i="6"/>
  <c r="I13" i="6" s="1"/>
  <c r="F13" i="6"/>
  <c r="G13" i="6" s="1"/>
  <c r="D13" i="6"/>
  <c r="E13" i="6" s="1"/>
  <c r="V12" i="6"/>
  <c r="W12" i="6" s="1"/>
  <c r="T12" i="6"/>
  <c r="U12" i="6" s="1"/>
  <c r="R12" i="6"/>
  <c r="S12" i="6" s="1"/>
  <c r="P12" i="6"/>
  <c r="Q12" i="6" s="1"/>
  <c r="N12" i="6"/>
  <c r="O12" i="6" s="1"/>
  <c r="L12" i="6"/>
  <c r="M12" i="6" s="1"/>
  <c r="J12" i="6"/>
  <c r="K12" i="6" s="1"/>
  <c r="H12" i="6"/>
  <c r="I12" i="6" s="1"/>
  <c r="F12" i="6"/>
  <c r="G12" i="6" s="1"/>
  <c r="D12" i="6"/>
  <c r="E12" i="6" s="1"/>
  <c r="V11" i="6"/>
  <c r="W11" i="6" s="1"/>
  <c r="T11" i="6"/>
  <c r="U11" i="6" s="1"/>
  <c r="R11" i="6"/>
  <c r="S11" i="6" s="1"/>
  <c r="P11" i="6"/>
  <c r="Q11" i="6" s="1"/>
  <c r="N11" i="6"/>
  <c r="O11" i="6" s="1"/>
  <c r="L11" i="6"/>
  <c r="M11" i="6" s="1"/>
  <c r="J11" i="6"/>
  <c r="K11" i="6" s="1"/>
  <c r="H11" i="6"/>
  <c r="I11" i="6" s="1"/>
  <c r="F11" i="6"/>
  <c r="G11" i="6" s="1"/>
  <c r="D11" i="6"/>
  <c r="E11" i="6" s="1"/>
  <c r="V10" i="6"/>
  <c r="W10" i="6" s="1"/>
  <c r="T10" i="6"/>
  <c r="U10" i="6" s="1"/>
  <c r="R10" i="6"/>
  <c r="S10" i="6" s="1"/>
  <c r="P10" i="6"/>
  <c r="Q10" i="6" s="1"/>
  <c r="N10" i="6"/>
  <c r="O10" i="6" s="1"/>
  <c r="L10" i="6"/>
  <c r="M10" i="6" s="1"/>
  <c r="J10" i="6"/>
  <c r="K10" i="6" s="1"/>
  <c r="H10" i="6"/>
  <c r="I10" i="6" s="1"/>
  <c r="F10" i="6"/>
  <c r="G10" i="6" s="1"/>
  <c r="D10" i="6"/>
  <c r="E10" i="6" s="1"/>
  <c r="V9" i="6"/>
  <c r="W9" i="6" s="1"/>
  <c r="T9" i="6"/>
  <c r="U9" i="6" s="1"/>
  <c r="R9" i="6"/>
  <c r="S9" i="6" s="1"/>
  <c r="P9" i="6"/>
  <c r="Q9" i="6" s="1"/>
  <c r="N9" i="6"/>
  <c r="O9" i="6" s="1"/>
  <c r="L9" i="6"/>
  <c r="M9" i="6" s="1"/>
  <c r="J9" i="6"/>
  <c r="K9" i="6" s="1"/>
  <c r="H9" i="6"/>
  <c r="I9" i="6" s="1"/>
  <c r="F9" i="6"/>
  <c r="G9" i="6" s="1"/>
  <c r="D9" i="6"/>
  <c r="E9" i="6" s="1"/>
  <c r="V8" i="6"/>
  <c r="W8" i="6" s="1"/>
  <c r="T8" i="6"/>
  <c r="U8" i="6" s="1"/>
  <c r="R8" i="6"/>
  <c r="S8" i="6" s="1"/>
  <c r="P8" i="6"/>
  <c r="Q8" i="6" s="1"/>
  <c r="N8" i="6"/>
  <c r="O8" i="6" s="1"/>
  <c r="L8" i="6"/>
  <c r="M8" i="6" s="1"/>
  <c r="J8" i="6"/>
  <c r="K8" i="6" s="1"/>
  <c r="H8" i="6"/>
  <c r="I8" i="6" s="1"/>
  <c r="F8" i="6"/>
  <c r="G8" i="6" s="1"/>
  <c r="D8" i="6"/>
  <c r="E8" i="6" s="1"/>
  <c r="V7" i="6"/>
  <c r="W7" i="6" s="1"/>
  <c r="T7" i="6"/>
  <c r="U7" i="6" s="1"/>
  <c r="R7" i="6"/>
  <c r="S7" i="6" s="1"/>
  <c r="P7" i="6"/>
  <c r="Q7" i="6" s="1"/>
  <c r="N7" i="6"/>
  <c r="O7" i="6" s="1"/>
  <c r="L7" i="6"/>
  <c r="M7" i="6" s="1"/>
  <c r="J7" i="6"/>
  <c r="K7" i="6" s="1"/>
  <c r="H7" i="6"/>
  <c r="I7" i="6" s="1"/>
  <c r="F7" i="6"/>
  <c r="G7" i="6" s="1"/>
  <c r="D7" i="6"/>
  <c r="E7" i="6" s="1"/>
  <c r="V6" i="6"/>
  <c r="W6" i="6" s="1"/>
  <c r="T6" i="6"/>
  <c r="U6" i="6" s="1"/>
  <c r="R6" i="6"/>
  <c r="S6" i="6" s="1"/>
  <c r="P6" i="6"/>
  <c r="Q6" i="6" s="1"/>
  <c r="N6" i="6"/>
  <c r="O6" i="6" s="1"/>
  <c r="L6" i="6"/>
  <c r="M6" i="6" s="1"/>
  <c r="J6" i="6"/>
  <c r="K6" i="6" s="1"/>
  <c r="H6" i="6"/>
  <c r="I6" i="6" s="1"/>
  <c r="F6" i="6"/>
  <c r="G6" i="6" s="1"/>
  <c r="E6" i="6"/>
  <c r="V5" i="6"/>
  <c r="W5" i="6" s="1"/>
  <c r="T5" i="6"/>
  <c r="U5" i="6" s="1"/>
  <c r="R5" i="6"/>
  <c r="S5" i="6" s="1"/>
  <c r="P5" i="6"/>
  <c r="Q5" i="6" s="1"/>
  <c r="N5" i="6"/>
  <c r="O5" i="6" s="1"/>
  <c r="L5" i="6"/>
  <c r="M5" i="6" s="1"/>
  <c r="J5" i="6"/>
  <c r="K5" i="6" s="1"/>
  <c r="H5" i="6"/>
  <c r="I5" i="6" s="1"/>
  <c r="F5" i="6"/>
  <c r="G5" i="6" s="1"/>
  <c r="E5" i="6"/>
  <c r="X19" i="5"/>
  <c r="Y19" i="5" s="1"/>
  <c r="W19" i="5"/>
  <c r="U19" i="5"/>
  <c r="S19" i="5"/>
  <c r="Q19" i="5"/>
  <c r="M19" i="5"/>
  <c r="K19" i="5"/>
  <c r="I19" i="5"/>
  <c r="E19" i="5"/>
  <c r="W16" i="5"/>
  <c r="S16" i="5"/>
  <c r="Q16" i="5"/>
  <c r="O16" i="5"/>
  <c r="M16" i="5"/>
  <c r="K16" i="5"/>
  <c r="I16" i="5"/>
  <c r="G16" i="5"/>
  <c r="E16" i="5"/>
  <c r="X15" i="5"/>
  <c r="Y15" i="5" s="1"/>
  <c r="W15" i="5"/>
  <c r="S15" i="5"/>
  <c r="Q15" i="5"/>
  <c r="O15" i="5"/>
  <c r="M15" i="5"/>
  <c r="K15" i="5"/>
  <c r="I15" i="5"/>
  <c r="G15" i="5"/>
  <c r="E15" i="5"/>
  <c r="X14" i="5"/>
  <c r="Y14" i="5" s="1"/>
  <c r="W14" i="5"/>
  <c r="U14" i="5"/>
  <c r="S14" i="5"/>
  <c r="Q14" i="5"/>
  <c r="O14" i="5"/>
  <c r="M14" i="5"/>
  <c r="I14" i="5"/>
  <c r="G14" i="5"/>
  <c r="E14" i="5"/>
  <c r="X13" i="5"/>
  <c r="Y13" i="5" s="1"/>
  <c r="W13" i="5"/>
  <c r="U13" i="5"/>
  <c r="S13" i="5"/>
  <c r="Q13" i="5"/>
  <c r="O13" i="5"/>
  <c r="M13" i="5"/>
  <c r="I13" i="5"/>
  <c r="G13" i="5"/>
  <c r="E13" i="5"/>
  <c r="X12" i="5"/>
  <c r="Y12" i="5" s="1"/>
  <c r="W12" i="5"/>
  <c r="U12" i="5"/>
  <c r="S12" i="5"/>
  <c r="Q12" i="5"/>
  <c r="O12" i="5"/>
  <c r="M12" i="5"/>
  <c r="K12" i="5"/>
  <c r="I12" i="5"/>
  <c r="G12" i="5"/>
  <c r="E12" i="5"/>
  <c r="X11" i="5"/>
  <c r="Y11" i="5" s="1"/>
  <c r="W11" i="5"/>
  <c r="U11" i="5"/>
  <c r="S11" i="5"/>
  <c r="Q11" i="5"/>
  <c r="O11" i="5"/>
  <c r="M11" i="5"/>
  <c r="K11" i="5"/>
  <c r="I11" i="5"/>
  <c r="G11" i="5"/>
  <c r="E11" i="5"/>
  <c r="X10" i="5"/>
  <c r="Y10" i="5" s="1"/>
  <c r="W10" i="5"/>
  <c r="U10" i="5"/>
  <c r="S10" i="5"/>
  <c r="Q10" i="5"/>
  <c r="O10" i="5"/>
  <c r="M10" i="5"/>
  <c r="K10" i="5"/>
  <c r="I10" i="5"/>
  <c r="G10" i="5"/>
  <c r="E10" i="5"/>
  <c r="X9" i="5"/>
  <c r="Y9" i="5" s="1"/>
  <c r="W9" i="5"/>
  <c r="U9" i="5"/>
  <c r="S9" i="5"/>
  <c r="Q9" i="5"/>
  <c r="O9" i="5"/>
  <c r="M9" i="5"/>
  <c r="K9" i="5"/>
  <c r="I9" i="5"/>
  <c r="G9" i="5"/>
  <c r="E9" i="5"/>
  <c r="X8" i="5"/>
  <c r="Y8" i="5" s="1"/>
  <c r="W8" i="5"/>
  <c r="U8" i="5"/>
  <c r="S8" i="5"/>
  <c r="Q8" i="5"/>
  <c r="O8" i="5"/>
  <c r="M8" i="5"/>
  <c r="K8" i="5"/>
  <c r="I8" i="5"/>
  <c r="G8" i="5"/>
  <c r="E8" i="5"/>
  <c r="X7" i="5"/>
  <c r="Y7" i="5" s="1"/>
  <c r="W7" i="5"/>
  <c r="U7" i="5"/>
  <c r="S7" i="5"/>
  <c r="Q7" i="5"/>
  <c r="O7" i="5"/>
  <c r="M7" i="5"/>
  <c r="K7" i="5"/>
  <c r="I7" i="5"/>
  <c r="G7" i="5"/>
  <c r="E7" i="5"/>
  <c r="X6" i="5"/>
  <c r="W6" i="5"/>
  <c r="U6" i="5"/>
  <c r="S6" i="5"/>
  <c r="Q6" i="5"/>
  <c r="O6" i="5"/>
  <c r="M6" i="5"/>
  <c r="K6" i="5"/>
  <c r="I6" i="5"/>
  <c r="G6" i="5"/>
  <c r="E6" i="5"/>
  <c r="X5" i="5"/>
  <c r="Y5" i="5" s="1"/>
  <c r="W5" i="5"/>
  <c r="U5" i="5"/>
  <c r="S5" i="5"/>
  <c r="Q5" i="5"/>
  <c r="O5" i="5"/>
  <c r="K5" i="5"/>
  <c r="I5" i="5"/>
  <c r="G5" i="5"/>
  <c r="E5" i="5"/>
  <c r="X19" i="4"/>
  <c r="Y19" i="4" s="1"/>
  <c r="U19" i="4"/>
  <c r="Q19" i="4"/>
  <c r="M19" i="4"/>
  <c r="G19" i="4"/>
  <c r="E19" i="4"/>
  <c r="W16" i="4"/>
  <c r="U16" i="4"/>
  <c r="S16" i="4"/>
  <c r="Q16" i="4"/>
  <c r="O16" i="4"/>
  <c r="M16" i="4"/>
  <c r="K16" i="4"/>
  <c r="I16" i="4"/>
  <c r="G16" i="4"/>
  <c r="E16" i="4"/>
  <c r="X15" i="4"/>
  <c r="Y15" i="4" s="1"/>
  <c r="W15" i="4"/>
  <c r="U15" i="4"/>
  <c r="S15" i="4"/>
  <c r="Q15" i="4"/>
  <c r="O15" i="4"/>
  <c r="M15" i="4"/>
  <c r="K15" i="4"/>
  <c r="I15" i="4"/>
  <c r="G15" i="4"/>
  <c r="E15" i="4"/>
  <c r="X14" i="4"/>
  <c r="W14" i="4"/>
  <c r="U14" i="4"/>
  <c r="S14" i="4"/>
  <c r="Q14" i="4"/>
  <c r="O14" i="4"/>
  <c r="M14" i="4"/>
  <c r="K14" i="4"/>
  <c r="I14" i="4"/>
  <c r="G14" i="4"/>
  <c r="E14" i="4"/>
  <c r="X13" i="4"/>
  <c r="Y13" i="4" s="1"/>
  <c r="W13" i="4"/>
  <c r="U13" i="4"/>
  <c r="S13" i="4"/>
  <c r="Q13" i="4"/>
  <c r="O13" i="4"/>
  <c r="M13" i="4"/>
  <c r="K13" i="4"/>
  <c r="I13" i="4"/>
  <c r="G13" i="4"/>
  <c r="E13" i="4"/>
  <c r="X12" i="4"/>
  <c r="Y12" i="4" s="1"/>
  <c r="W12" i="4"/>
  <c r="U12" i="4"/>
  <c r="S12" i="4"/>
  <c r="Q12" i="4"/>
  <c r="O12" i="4"/>
  <c r="M12" i="4"/>
  <c r="K12" i="4"/>
  <c r="I12" i="4"/>
  <c r="G12" i="4"/>
  <c r="E12" i="4"/>
  <c r="X11" i="4"/>
  <c r="Y11" i="4" s="1"/>
  <c r="W11" i="4"/>
  <c r="U11" i="4"/>
  <c r="S11" i="4"/>
  <c r="Q11" i="4"/>
  <c r="O11" i="4"/>
  <c r="M11" i="4"/>
  <c r="K11" i="4"/>
  <c r="I11" i="4"/>
  <c r="G11" i="4"/>
  <c r="E11" i="4"/>
  <c r="X10" i="4"/>
  <c r="Y10" i="4" s="1"/>
  <c r="W10" i="4"/>
  <c r="U10" i="4"/>
  <c r="S10" i="4"/>
  <c r="Q10" i="4"/>
  <c r="O10" i="4"/>
  <c r="M10" i="4"/>
  <c r="K10" i="4"/>
  <c r="I10" i="4"/>
  <c r="G10" i="4"/>
  <c r="E10" i="4"/>
  <c r="X9" i="4"/>
  <c r="Y9" i="4" s="1"/>
  <c r="W9" i="4"/>
  <c r="U9" i="4"/>
  <c r="S9" i="4"/>
  <c r="Q9" i="4"/>
  <c r="O9" i="4"/>
  <c r="M9" i="4"/>
  <c r="K9" i="4"/>
  <c r="I9" i="4"/>
  <c r="G9" i="4"/>
  <c r="E9" i="4"/>
  <c r="Y8" i="4"/>
  <c r="W8" i="4"/>
  <c r="U8" i="4"/>
  <c r="S8" i="4"/>
  <c r="Q8" i="4"/>
  <c r="O8" i="4"/>
  <c r="M8" i="4"/>
  <c r="K8" i="4"/>
  <c r="I8" i="4"/>
  <c r="G8" i="4"/>
  <c r="E8" i="4"/>
  <c r="X7" i="4"/>
  <c r="Y7" i="4" s="1"/>
  <c r="W7" i="4"/>
  <c r="U7" i="4"/>
  <c r="S7" i="4"/>
  <c r="Q7" i="4"/>
  <c r="O7" i="4"/>
  <c r="M7" i="4"/>
  <c r="K7" i="4"/>
  <c r="I7" i="4"/>
  <c r="G7" i="4"/>
  <c r="E7" i="4"/>
  <c r="Y6" i="4"/>
  <c r="W6" i="4"/>
  <c r="U6" i="4"/>
  <c r="S6" i="4"/>
  <c r="Q6" i="4"/>
  <c r="O6" i="4"/>
  <c r="M6" i="4"/>
  <c r="K6" i="4"/>
  <c r="I6" i="4"/>
  <c r="G6" i="4"/>
  <c r="E6" i="4"/>
  <c r="X5" i="4"/>
  <c r="Y5" i="4" s="1"/>
  <c r="W5" i="4"/>
  <c r="U5" i="4"/>
  <c r="S5" i="4"/>
  <c r="Q5" i="4"/>
  <c r="O5" i="4"/>
  <c r="M5" i="4"/>
  <c r="K5" i="4"/>
  <c r="I5" i="4"/>
  <c r="G5" i="4"/>
  <c r="E5" i="4"/>
  <c r="X16" i="3"/>
  <c r="W16" i="3"/>
  <c r="U16" i="3"/>
  <c r="S16" i="3"/>
  <c r="Q16" i="3"/>
  <c r="O16" i="3"/>
  <c r="M16" i="3"/>
  <c r="K16" i="3"/>
  <c r="I16" i="3"/>
  <c r="G16" i="3"/>
  <c r="E16" i="3"/>
  <c r="X15" i="3"/>
  <c r="W15" i="3"/>
  <c r="U15" i="3"/>
  <c r="S15" i="3"/>
  <c r="Q15" i="3"/>
  <c r="O15" i="3"/>
  <c r="M15" i="3"/>
  <c r="K15" i="3"/>
  <c r="I15" i="3"/>
  <c r="G15" i="3"/>
  <c r="E15" i="3"/>
  <c r="X14" i="3"/>
  <c r="Y14" i="3" s="1"/>
  <c r="W14" i="3"/>
  <c r="U14" i="3"/>
  <c r="S14" i="3"/>
  <c r="Q14" i="3"/>
  <c r="O14" i="3"/>
  <c r="M14" i="3"/>
  <c r="K14" i="3"/>
  <c r="I14" i="3"/>
  <c r="G14" i="3"/>
  <c r="E14" i="3"/>
  <c r="X13" i="3"/>
  <c r="W13" i="3"/>
  <c r="U13" i="3"/>
  <c r="S13" i="3"/>
  <c r="Q13" i="3"/>
  <c r="O13" i="3"/>
  <c r="M13" i="3"/>
  <c r="K13" i="3"/>
  <c r="I13" i="3"/>
  <c r="G13" i="3"/>
  <c r="E13" i="3"/>
  <c r="X12" i="3"/>
  <c r="W12" i="3"/>
  <c r="U12" i="3"/>
  <c r="S12" i="3"/>
  <c r="Q12" i="3"/>
  <c r="O12" i="3"/>
  <c r="M12" i="3"/>
  <c r="K12" i="3"/>
  <c r="I12" i="3"/>
  <c r="G12" i="3"/>
  <c r="E12" i="3"/>
  <c r="X11" i="3"/>
  <c r="W11" i="3"/>
  <c r="U11" i="3"/>
  <c r="S11" i="3"/>
  <c r="Q11" i="3"/>
  <c r="O11" i="3"/>
  <c r="M11" i="3"/>
  <c r="K11" i="3"/>
  <c r="I11" i="3"/>
  <c r="G11" i="3"/>
  <c r="X10" i="3"/>
  <c r="Y10" i="3" s="1"/>
  <c r="W10" i="3"/>
  <c r="U10" i="3"/>
  <c r="S10" i="3"/>
  <c r="Q10" i="3"/>
  <c r="O10" i="3"/>
  <c r="M10" i="3"/>
  <c r="K10" i="3"/>
  <c r="I10" i="3"/>
  <c r="G10" i="3"/>
  <c r="E10" i="3"/>
  <c r="X9" i="3"/>
  <c r="W9" i="3"/>
  <c r="U9" i="3"/>
  <c r="S9" i="3"/>
  <c r="Q9" i="3"/>
  <c r="O9" i="3"/>
  <c r="M9" i="3"/>
  <c r="K9" i="3"/>
  <c r="I9" i="3"/>
  <c r="G9" i="3"/>
  <c r="E9" i="3"/>
  <c r="X8" i="3"/>
  <c r="W8" i="3"/>
  <c r="U8" i="3"/>
  <c r="S8" i="3"/>
  <c r="Q8" i="3"/>
  <c r="O8" i="3"/>
  <c r="M8" i="3"/>
  <c r="K8" i="3"/>
  <c r="I8" i="3"/>
  <c r="G8" i="3"/>
  <c r="E8" i="3"/>
  <c r="X7" i="3"/>
  <c r="W7" i="3"/>
  <c r="U7" i="3"/>
  <c r="S7" i="3"/>
  <c r="Q7" i="3"/>
  <c r="O7" i="3"/>
  <c r="M7" i="3"/>
  <c r="K7" i="3"/>
  <c r="I7" i="3"/>
  <c r="G7" i="3"/>
  <c r="E7" i="3"/>
  <c r="X6" i="3"/>
  <c r="Y6" i="3" s="1"/>
  <c r="W6" i="3"/>
  <c r="U6" i="3"/>
  <c r="S6" i="3"/>
  <c r="Q6" i="3"/>
  <c r="O6" i="3"/>
  <c r="M6" i="3"/>
  <c r="K6" i="3"/>
  <c r="I6" i="3"/>
  <c r="G6" i="3"/>
  <c r="G22" i="3" s="1"/>
  <c r="E6" i="3"/>
  <c r="X5" i="3"/>
  <c r="W5" i="3"/>
  <c r="U5" i="3"/>
  <c r="U22" i="3" s="1"/>
  <c r="S5" i="3"/>
  <c r="Q5" i="3"/>
  <c r="O5" i="3"/>
  <c r="M5" i="3"/>
  <c r="K5" i="3"/>
  <c r="I5" i="3"/>
  <c r="G5" i="3"/>
  <c r="E5" i="3"/>
  <c r="P19" i="8"/>
  <c r="Q19" i="8" s="1"/>
  <c r="N19" i="8"/>
  <c r="O19" i="8" s="1"/>
  <c r="L19" i="8"/>
  <c r="M19" i="8" s="1"/>
  <c r="J19" i="8"/>
  <c r="K19" i="8" s="1"/>
  <c r="I19" i="8"/>
  <c r="G19" i="8"/>
  <c r="D19" i="8"/>
  <c r="P16" i="8"/>
  <c r="Q16" i="8" s="1"/>
  <c r="N16" i="8"/>
  <c r="O16" i="8" s="1"/>
  <c r="L16" i="8"/>
  <c r="M16" i="8" s="1"/>
  <c r="J16" i="8"/>
  <c r="K16" i="8" s="1"/>
  <c r="H16" i="8"/>
  <c r="I16" i="8" s="1"/>
  <c r="F16" i="8"/>
  <c r="G16" i="8" s="1"/>
  <c r="P15" i="8"/>
  <c r="Q15" i="8" s="1"/>
  <c r="N15" i="8"/>
  <c r="O15" i="8" s="1"/>
  <c r="L15" i="8"/>
  <c r="M15" i="8" s="1"/>
  <c r="J15" i="8"/>
  <c r="K15" i="8" s="1"/>
  <c r="H15" i="8"/>
  <c r="I15" i="8" s="1"/>
  <c r="F15" i="8"/>
  <c r="G15" i="8" s="1"/>
  <c r="D15" i="8"/>
  <c r="P14" i="8"/>
  <c r="Q14" i="8" s="1"/>
  <c r="N14" i="8"/>
  <c r="O14" i="8" s="1"/>
  <c r="L14" i="8"/>
  <c r="M14" i="8" s="1"/>
  <c r="J14" i="8"/>
  <c r="K14" i="8" s="1"/>
  <c r="H14" i="8"/>
  <c r="I14" i="8" s="1"/>
  <c r="F14" i="8"/>
  <c r="G14" i="8" s="1"/>
  <c r="D14" i="8"/>
  <c r="P13" i="8"/>
  <c r="Q13" i="8" s="1"/>
  <c r="N13" i="8"/>
  <c r="O13" i="8" s="1"/>
  <c r="L13" i="8"/>
  <c r="M13" i="8" s="1"/>
  <c r="J13" i="8"/>
  <c r="K13" i="8" s="1"/>
  <c r="H13" i="8"/>
  <c r="I13" i="8" s="1"/>
  <c r="F13" i="8"/>
  <c r="G13" i="8" s="1"/>
  <c r="Q12" i="8"/>
  <c r="N12" i="8"/>
  <c r="L12" i="8"/>
  <c r="M12" i="8" s="1"/>
  <c r="J12" i="8"/>
  <c r="K12" i="8" s="1"/>
  <c r="H12" i="8"/>
  <c r="I12" i="8" s="1"/>
  <c r="G12" i="8"/>
  <c r="Q11" i="8"/>
  <c r="N11" i="8"/>
  <c r="O11" i="8" s="1"/>
  <c r="L11" i="8"/>
  <c r="M11" i="8" s="1"/>
  <c r="J11" i="8"/>
  <c r="K11" i="8" s="1"/>
  <c r="H11" i="8"/>
  <c r="I11" i="8" s="1"/>
  <c r="F11" i="8"/>
  <c r="D11" i="8"/>
  <c r="P10" i="8"/>
  <c r="Q10" i="8" s="1"/>
  <c r="N10" i="8"/>
  <c r="O10" i="8" s="1"/>
  <c r="L10" i="8"/>
  <c r="M10" i="8" s="1"/>
  <c r="J10" i="8"/>
  <c r="K10" i="8" s="1"/>
  <c r="H10" i="8"/>
  <c r="I10" i="8" s="1"/>
  <c r="F10" i="8"/>
  <c r="G10" i="8" s="1"/>
  <c r="D10" i="8"/>
  <c r="P9" i="8"/>
  <c r="Q9" i="8" s="1"/>
  <c r="N9" i="8"/>
  <c r="O9" i="8" s="1"/>
  <c r="L9" i="8"/>
  <c r="M9" i="8" s="1"/>
  <c r="J9" i="8"/>
  <c r="K9" i="8" s="1"/>
  <c r="H9" i="8"/>
  <c r="I9" i="8" s="1"/>
  <c r="F9" i="8"/>
  <c r="G9" i="8" s="1"/>
  <c r="D9" i="8"/>
  <c r="P8" i="8"/>
  <c r="Q8" i="8" s="1"/>
  <c r="N8" i="8"/>
  <c r="O8" i="8" s="1"/>
  <c r="L8" i="8"/>
  <c r="M8" i="8" s="1"/>
  <c r="J8" i="8"/>
  <c r="K8" i="8" s="1"/>
  <c r="H8" i="8"/>
  <c r="I8" i="8" s="1"/>
  <c r="F8" i="8"/>
  <c r="D8" i="8"/>
  <c r="Q7" i="8"/>
  <c r="N7" i="8"/>
  <c r="O7" i="8" s="1"/>
  <c r="L7" i="8"/>
  <c r="M7" i="8" s="1"/>
  <c r="J7" i="8"/>
  <c r="K7" i="8" s="1"/>
  <c r="H7" i="8"/>
  <c r="I7" i="8" s="1"/>
  <c r="F7" i="8"/>
  <c r="G7" i="8" s="1"/>
  <c r="D7" i="8"/>
  <c r="Q6" i="8"/>
  <c r="O6" i="8"/>
  <c r="M6" i="8"/>
  <c r="K6" i="8"/>
  <c r="H6" i="8"/>
  <c r="I6" i="8" s="1"/>
  <c r="F6" i="8"/>
  <c r="G6" i="8" s="1"/>
  <c r="D6" i="8"/>
  <c r="P5" i="8"/>
  <c r="N5" i="8"/>
  <c r="O5" i="8" s="1"/>
  <c r="L5" i="8"/>
  <c r="M5" i="8" s="1"/>
  <c r="J5" i="8"/>
  <c r="K5" i="8" s="1"/>
  <c r="H5" i="8"/>
  <c r="G5" i="8"/>
  <c r="U14" i="10"/>
  <c r="S14" i="10"/>
  <c r="Q14" i="10"/>
  <c r="O14" i="10"/>
  <c r="M14" i="10"/>
  <c r="K14" i="10"/>
  <c r="I14" i="10"/>
  <c r="G14" i="10"/>
  <c r="E14" i="10"/>
  <c r="U13" i="10"/>
  <c r="S13" i="10"/>
  <c r="Q13" i="10"/>
  <c r="O13" i="10"/>
  <c r="M13" i="10"/>
  <c r="K13" i="10"/>
  <c r="I13" i="10"/>
  <c r="G13" i="10"/>
  <c r="E13" i="10"/>
  <c r="U12" i="10"/>
  <c r="S12" i="10"/>
  <c r="Q12" i="10"/>
  <c r="O12" i="10"/>
  <c r="M12" i="10"/>
  <c r="K12" i="10"/>
  <c r="I12" i="10"/>
  <c r="G12" i="10"/>
  <c r="E12" i="10"/>
  <c r="Q22" i="10"/>
  <c r="U9" i="10"/>
  <c r="S9" i="10"/>
  <c r="Q9" i="10"/>
  <c r="O9" i="10"/>
  <c r="M9" i="10"/>
  <c r="K9" i="10"/>
  <c r="I9" i="10"/>
  <c r="U8" i="10"/>
  <c r="Q8" i="10"/>
  <c r="O8" i="10"/>
  <c r="M8" i="10"/>
  <c r="K8" i="10"/>
  <c r="I8" i="10"/>
  <c r="G8" i="10"/>
  <c r="U7" i="10"/>
  <c r="S7" i="10"/>
  <c r="Q7" i="10"/>
  <c r="O7" i="10"/>
  <c r="M7" i="10"/>
  <c r="I7" i="10"/>
  <c r="G7" i="10"/>
  <c r="E7" i="10"/>
  <c r="U6" i="10"/>
  <c r="S6" i="10"/>
  <c r="Q6" i="10"/>
  <c r="O6" i="10"/>
  <c r="M6" i="10"/>
  <c r="K6" i="10"/>
  <c r="K22" i="10" s="1"/>
  <c r="I6" i="10"/>
  <c r="G6" i="10"/>
  <c r="E6" i="10"/>
  <c r="S5" i="10"/>
  <c r="Q5" i="10"/>
  <c r="O5" i="10"/>
  <c r="M5" i="10"/>
  <c r="I5" i="10"/>
  <c r="G5" i="10"/>
  <c r="E5" i="10"/>
  <c r="T16" i="9"/>
  <c r="U16" i="9" s="1"/>
  <c r="S16" i="9"/>
  <c r="Q16" i="9"/>
  <c r="O16" i="9"/>
  <c r="M16" i="9"/>
  <c r="K16" i="9"/>
  <c r="I16" i="9"/>
  <c r="G16" i="9"/>
  <c r="E16" i="9"/>
  <c r="T15" i="9"/>
  <c r="U15" i="9" s="1"/>
  <c r="S15" i="9"/>
  <c r="Q15" i="9"/>
  <c r="O15" i="9"/>
  <c r="M15" i="9"/>
  <c r="K15" i="9"/>
  <c r="I15" i="9"/>
  <c r="G15" i="9"/>
  <c r="E15" i="9"/>
  <c r="U14" i="9"/>
  <c r="T14" i="9"/>
  <c r="S14" i="9"/>
  <c r="Q14" i="9"/>
  <c r="O14" i="9"/>
  <c r="M14" i="9"/>
  <c r="K14" i="9"/>
  <c r="I14" i="9"/>
  <c r="G14" i="9"/>
  <c r="E14" i="9"/>
  <c r="T13" i="9"/>
  <c r="U13" i="9" s="1"/>
  <c r="S13" i="9"/>
  <c r="Q13" i="9"/>
  <c r="O13" i="9"/>
  <c r="M13" i="9"/>
  <c r="K13" i="9"/>
  <c r="I13" i="9"/>
  <c r="G13" i="9"/>
  <c r="E13" i="9"/>
  <c r="T12" i="9"/>
  <c r="U12" i="9" s="1"/>
  <c r="S12" i="9"/>
  <c r="Q12" i="9"/>
  <c r="O12" i="9"/>
  <c r="M12" i="9"/>
  <c r="K12" i="9"/>
  <c r="I12" i="9"/>
  <c r="G12" i="9"/>
  <c r="E12" i="9"/>
  <c r="T11" i="9"/>
  <c r="U11" i="9" s="1"/>
  <c r="S11" i="9"/>
  <c r="Q11" i="9"/>
  <c r="O11" i="9"/>
  <c r="M11" i="9"/>
  <c r="K11" i="9"/>
  <c r="I11" i="9"/>
  <c r="G11" i="9"/>
  <c r="E11" i="9"/>
  <c r="U10" i="9"/>
  <c r="T10" i="9"/>
  <c r="S10" i="9"/>
  <c r="Q10" i="9"/>
  <c r="O10" i="9"/>
  <c r="M10" i="9"/>
  <c r="K10" i="9"/>
  <c r="I10" i="9"/>
  <c r="G10" i="9"/>
  <c r="E10" i="9"/>
  <c r="T9" i="9"/>
  <c r="U9" i="9" s="1"/>
  <c r="S9" i="9"/>
  <c r="Q9" i="9"/>
  <c r="O9" i="9"/>
  <c r="M9" i="9"/>
  <c r="K9" i="9"/>
  <c r="I9" i="9"/>
  <c r="G9" i="9"/>
  <c r="E9" i="9"/>
  <c r="T8" i="9"/>
  <c r="U8" i="9" s="1"/>
  <c r="S8" i="9"/>
  <c r="Q8" i="9"/>
  <c r="O8" i="9"/>
  <c r="M8" i="9"/>
  <c r="K8" i="9"/>
  <c r="I8" i="9"/>
  <c r="G8" i="9"/>
  <c r="E8" i="9"/>
  <c r="T7" i="9"/>
  <c r="U7" i="9" s="1"/>
  <c r="S7" i="9"/>
  <c r="Q7" i="9"/>
  <c r="O7" i="9"/>
  <c r="M7" i="9"/>
  <c r="K7" i="9"/>
  <c r="I7" i="9"/>
  <c r="G7" i="9"/>
  <c r="E7" i="9"/>
  <c r="U6" i="9"/>
  <c r="T6" i="9"/>
  <c r="S6" i="9"/>
  <c r="Q6" i="9"/>
  <c r="O6" i="9"/>
  <c r="M6" i="9"/>
  <c r="K6" i="9"/>
  <c r="K22" i="9" s="1"/>
  <c r="I6" i="9"/>
  <c r="G6" i="9"/>
  <c r="E6" i="9"/>
  <c r="T5" i="9"/>
  <c r="U5" i="9" s="1"/>
  <c r="S5" i="9"/>
  <c r="Q5" i="9"/>
  <c r="O5" i="9"/>
  <c r="M5" i="9"/>
  <c r="M22" i="9" s="1"/>
  <c r="K5" i="9"/>
  <c r="I5" i="9"/>
  <c r="G5" i="9"/>
  <c r="E5" i="9"/>
  <c r="T14" i="7"/>
  <c r="U14" i="7" s="1"/>
  <c r="Q14" i="7"/>
  <c r="K14" i="7"/>
  <c r="G14" i="7"/>
  <c r="T13" i="7"/>
  <c r="U13" i="7" s="1"/>
  <c r="Q13" i="7"/>
  <c r="K13" i="7"/>
  <c r="G13" i="7"/>
  <c r="U12" i="7"/>
  <c r="Q12" i="7"/>
  <c r="K12" i="7"/>
  <c r="G12" i="7"/>
  <c r="T9" i="7"/>
  <c r="U9" i="7" s="1"/>
  <c r="Q9" i="7"/>
  <c r="K9" i="7"/>
  <c r="G9" i="7"/>
  <c r="T8" i="7"/>
  <c r="U8" i="7" s="1"/>
  <c r="Q8" i="7"/>
  <c r="K8" i="7"/>
  <c r="G8" i="7"/>
  <c r="T7" i="7"/>
  <c r="U7" i="7" s="1"/>
  <c r="Q7" i="7"/>
  <c r="K7" i="7"/>
  <c r="G7" i="7"/>
  <c r="T6" i="7"/>
  <c r="U6" i="7" s="1"/>
  <c r="Q6" i="7"/>
  <c r="K6" i="7"/>
  <c r="G6" i="7"/>
  <c r="G22" i="7" s="1"/>
  <c r="Q5" i="7"/>
  <c r="K5" i="7"/>
  <c r="K22" i="7" s="1"/>
  <c r="G5" i="7"/>
  <c r="G14" i="14"/>
  <c r="Q14" i="2"/>
  <c r="I14" i="2"/>
  <c r="E14" i="2"/>
  <c r="Q13" i="2"/>
  <c r="I13" i="2"/>
  <c r="E13" i="2"/>
  <c r="Q12" i="2"/>
  <c r="I12" i="2"/>
  <c r="E12" i="2"/>
  <c r="I10" i="14"/>
  <c r="G10" i="14"/>
  <c r="Q9" i="2"/>
  <c r="I9" i="2"/>
  <c r="E9" i="2"/>
  <c r="Q8" i="2"/>
  <c r="I8" i="2"/>
  <c r="E8" i="2"/>
  <c r="Q7" i="2"/>
  <c r="I7" i="2"/>
  <c r="E7" i="2"/>
  <c r="Q6" i="2"/>
  <c r="Q5" i="2"/>
  <c r="G5" i="2"/>
  <c r="E5" i="2"/>
  <c r="Z17" i="11"/>
  <c r="AA17" i="11" s="1"/>
  <c r="Y17" i="11"/>
  <c r="X17" i="11"/>
  <c r="W17" i="11"/>
  <c r="U17" i="11"/>
  <c r="S17" i="11"/>
  <c r="Q17" i="11"/>
  <c r="N17" i="11"/>
  <c r="O17" i="11" s="1"/>
  <c r="M17" i="11"/>
  <c r="K17" i="11"/>
  <c r="H17" i="11"/>
  <c r="I17" i="11" s="1"/>
  <c r="G17" i="11"/>
  <c r="E17" i="11"/>
  <c r="Z16" i="11"/>
  <c r="AA16" i="11" s="1"/>
  <c r="Y16" i="11"/>
  <c r="X16" i="11"/>
  <c r="W16" i="11"/>
  <c r="U16" i="11"/>
  <c r="S16" i="11"/>
  <c r="Q16" i="11"/>
  <c r="N16" i="11"/>
  <c r="O16" i="11" s="1"/>
  <c r="M16" i="11"/>
  <c r="K16" i="11"/>
  <c r="H16" i="11"/>
  <c r="I16" i="11" s="1"/>
  <c r="G16" i="11"/>
  <c r="E16" i="11"/>
  <c r="Z15" i="11"/>
  <c r="AA15" i="11" s="1"/>
  <c r="Y15" i="11"/>
  <c r="X15" i="11"/>
  <c r="W15" i="11"/>
  <c r="U15" i="11"/>
  <c r="S15" i="11"/>
  <c r="Q15" i="11"/>
  <c r="N15" i="11"/>
  <c r="O15" i="11" s="1"/>
  <c r="M15" i="11"/>
  <c r="K15" i="11"/>
  <c r="H15" i="11"/>
  <c r="I15" i="11" s="1"/>
  <c r="G15" i="11"/>
  <c r="E15" i="11"/>
  <c r="Z14" i="11"/>
  <c r="AA14" i="11" s="1"/>
  <c r="Y14" i="11"/>
  <c r="X14" i="11"/>
  <c r="W14" i="11"/>
  <c r="U14" i="11"/>
  <c r="S14" i="11"/>
  <c r="Q14" i="11"/>
  <c r="N14" i="11"/>
  <c r="O14" i="11" s="1"/>
  <c r="M14" i="11"/>
  <c r="K14" i="11"/>
  <c r="H14" i="11"/>
  <c r="I14" i="11" s="1"/>
  <c r="G14" i="11"/>
  <c r="E14" i="11"/>
  <c r="Z13" i="11"/>
  <c r="AA13" i="11" s="1"/>
  <c r="Y13" i="11"/>
  <c r="X13" i="11"/>
  <c r="W13" i="11"/>
  <c r="U13" i="11"/>
  <c r="S13" i="11"/>
  <c r="Q13" i="11"/>
  <c r="N13" i="11"/>
  <c r="O13" i="11" s="1"/>
  <c r="M13" i="11"/>
  <c r="K13" i="11"/>
  <c r="H13" i="11"/>
  <c r="I13" i="11" s="1"/>
  <c r="G13" i="11"/>
  <c r="E13" i="11"/>
  <c r="Z12" i="11"/>
  <c r="AA12" i="11" s="1"/>
  <c r="Y12" i="11"/>
  <c r="X12" i="11"/>
  <c r="W12" i="11"/>
  <c r="U12" i="11"/>
  <c r="S12" i="11"/>
  <c r="Q12" i="11"/>
  <c r="N12" i="11"/>
  <c r="O12" i="11" s="1"/>
  <c r="M12" i="11"/>
  <c r="K12" i="11"/>
  <c r="H12" i="11"/>
  <c r="I12" i="11" s="1"/>
  <c r="G12" i="11"/>
  <c r="E12" i="11"/>
  <c r="Z11" i="11"/>
  <c r="AA11" i="11" s="1"/>
  <c r="Y11" i="11"/>
  <c r="X11" i="11"/>
  <c r="W11" i="11"/>
  <c r="U11" i="11"/>
  <c r="S11" i="11"/>
  <c r="Q11" i="11"/>
  <c r="N11" i="11"/>
  <c r="O11" i="11" s="1"/>
  <c r="M11" i="11"/>
  <c r="K11" i="11"/>
  <c r="H11" i="11"/>
  <c r="I11" i="11" s="1"/>
  <c r="G11" i="11"/>
  <c r="E11" i="11"/>
  <c r="Z10" i="11"/>
  <c r="AA10" i="11" s="1"/>
  <c r="Y10" i="11"/>
  <c r="X10" i="11"/>
  <c r="W10" i="11"/>
  <c r="U10" i="11"/>
  <c r="S10" i="11"/>
  <c r="Q10" i="11"/>
  <c r="N10" i="11"/>
  <c r="O10" i="11" s="1"/>
  <c r="M10" i="11"/>
  <c r="K10" i="11"/>
  <c r="H10" i="11"/>
  <c r="I10" i="11" s="1"/>
  <c r="G10" i="11"/>
  <c r="E10" i="11"/>
  <c r="Z9" i="11"/>
  <c r="AA9" i="11" s="1"/>
  <c r="Y9" i="11"/>
  <c r="X9" i="11"/>
  <c r="W9" i="11"/>
  <c r="U9" i="11"/>
  <c r="S9" i="11"/>
  <c r="Q9" i="11"/>
  <c r="N9" i="11"/>
  <c r="O9" i="11" s="1"/>
  <c r="M9" i="11"/>
  <c r="K9" i="11"/>
  <c r="H9" i="11"/>
  <c r="I9" i="11" s="1"/>
  <c r="G9" i="11"/>
  <c r="E9" i="11"/>
  <c r="Z8" i="11"/>
  <c r="AA8" i="11" s="1"/>
  <c r="Y8" i="11"/>
  <c r="X8" i="11"/>
  <c r="W8" i="11"/>
  <c r="U8" i="11"/>
  <c r="S8" i="11"/>
  <c r="Q8" i="11"/>
  <c r="N8" i="11"/>
  <c r="O8" i="11" s="1"/>
  <c r="M8" i="11"/>
  <c r="K8" i="11"/>
  <c r="H8" i="11"/>
  <c r="I8" i="11" s="1"/>
  <c r="G8" i="11"/>
  <c r="E8" i="11"/>
  <c r="Z7" i="11"/>
  <c r="AA7" i="11" s="1"/>
  <c r="Y7" i="11"/>
  <c r="X7" i="11"/>
  <c r="W7" i="11"/>
  <c r="U7" i="11"/>
  <c r="S7" i="11"/>
  <c r="Q7" i="11"/>
  <c r="N7" i="11"/>
  <c r="O7" i="11" s="1"/>
  <c r="M7" i="11"/>
  <c r="K7" i="11"/>
  <c r="H7" i="11"/>
  <c r="I7" i="11" s="1"/>
  <c r="G7" i="11"/>
  <c r="E7" i="11"/>
  <c r="Z6" i="11"/>
  <c r="AA6" i="11" s="1"/>
  <c r="Y6" i="11"/>
  <c r="X6" i="11"/>
  <c r="W6" i="11"/>
  <c r="U6" i="11"/>
  <c r="S6" i="11"/>
  <c r="Q6" i="11"/>
  <c r="N6" i="11"/>
  <c r="O6" i="11" s="1"/>
  <c r="M6" i="11"/>
  <c r="K6" i="11"/>
  <c r="H6" i="11"/>
  <c r="I6" i="11" s="1"/>
  <c r="G6" i="11"/>
  <c r="E6" i="11"/>
  <c r="Z5" i="11"/>
  <c r="AA5" i="11" s="1"/>
  <c r="W5" i="11"/>
  <c r="W18" i="11" s="1"/>
  <c r="U5" i="11"/>
  <c r="U18" i="11" s="1"/>
  <c r="S5" i="11"/>
  <c r="S18" i="11" s="1"/>
  <c r="Q5" i="11"/>
  <c r="Q18" i="11" s="1"/>
  <c r="N5" i="11"/>
  <c r="O5" i="11" s="1"/>
  <c r="O18" i="11" s="1"/>
  <c r="M5" i="11"/>
  <c r="K5" i="11"/>
  <c r="K18" i="11" s="1"/>
  <c r="I5" i="11"/>
  <c r="G5" i="11"/>
  <c r="G18" i="11" s="1"/>
  <c r="E5" i="11"/>
  <c r="E18" i="11" s="1"/>
  <c r="M17" i="1"/>
  <c r="K17" i="1"/>
  <c r="I17" i="1"/>
  <c r="F17" i="1"/>
  <c r="N17" i="1" s="1"/>
  <c r="O17" i="1" s="1"/>
  <c r="E17" i="1"/>
  <c r="O16" i="1"/>
  <c r="N16" i="1"/>
  <c r="M16" i="1"/>
  <c r="K16" i="1"/>
  <c r="I16" i="1"/>
  <c r="G16" i="1"/>
  <c r="E16" i="1"/>
  <c r="N15" i="1"/>
  <c r="O15" i="1" s="1"/>
  <c r="M15" i="1"/>
  <c r="K15" i="1"/>
  <c r="I15" i="1"/>
  <c r="G15" i="1"/>
  <c r="E15" i="1"/>
  <c r="N14" i="1"/>
  <c r="O14" i="1" s="1"/>
  <c r="M14" i="1"/>
  <c r="K14" i="1"/>
  <c r="I14" i="1"/>
  <c r="G14" i="1"/>
  <c r="E14" i="1"/>
  <c r="N13" i="1"/>
  <c r="O13" i="1" s="1"/>
  <c r="M13" i="1"/>
  <c r="K13" i="1"/>
  <c r="K18" i="1" s="1"/>
  <c r="I13" i="1"/>
  <c r="G13" i="1"/>
  <c r="E13" i="1"/>
  <c r="O12" i="1"/>
  <c r="N12" i="1"/>
  <c r="M12" i="1"/>
  <c r="K12" i="1"/>
  <c r="I12" i="1"/>
  <c r="G12" i="1"/>
  <c r="E12" i="1"/>
  <c r="M11" i="1"/>
  <c r="K11" i="1"/>
  <c r="I11" i="1"/>
  <c r="F11" i="1"/>
  <c r="N11" i="1" s="1"/>
  <c r="O11" i="1" s="1"/>
  <c r="E11" i="1"/>
  <c r="N10" i="1"/>
  <c r="O10" i="1" s="1"/>
  <c r="M10" i="1"/>
  <c r="K10" i="1"/>
  <c r="I10" i="1"/>
  <c r="G10" i="1"/>
  <c r="E10" i="1"/>
  <c r="N9" i="1"/>
  <c r="O9" i="1" s="1"/>
  <c r="M9" i="1"/>
  <c r="K9" i="1"/>
  <c r="I9" i="1"/>
  <c r="G9" i="1"/>
  <c r="E9" i="1"/>
  <c r="N8" i="1"/>
  <c r="O8" i="1" s="1"/>
  <c r="M8" i="1"/>
  <c r="K8" i="1"/>
  <c r="I8" i="1"/>
  <c r="G8" i="1"/>
  <c r="E8" i="1"/>
  <c r="O7" i="1"/>
  <c r="N7" i="1"/>
  <c r="M7" i="1"/>
  <c r="K7" i="1"/>
  <c r="I7" i="1"/>
  <c r="G7" i="1"/>
  <c r="E7" i="1"/>
  <c r="N6" i="1"/>
  <c r="O6" i="1" s="1"/>
  <c r="M6" i="1"/>
  <c r="K6" i="1"/>
  <c r="I6" i="1"/>
  <c r="G6" i="1"/>
  <c r="E6" i="1"/>
  <c r="N5" i="1"/>
  <c r="O5" i="1" s="1"/>
  <c r="M5" i="1"/>
  <c r="K5" i="1"/>
  <c r="I5" i="1"/>
  <c r="G5" i="1"/>
  <c r="E5" i="1"/>
  <c r="T5" i="8" l="1"/>
  <c r="R5" i="8"/>
  <c r="F4" i="13" s="1"/>
  <c r="M22" i="12"/>
  <c r="O12" i="8"/>
  <c r="O22" i="8" s="1"/>
  <c r="R12" i="8"/>
  <c r="F11" i="13" s="1"/>
  <c r="K22" i="12"/>
  <c r="K22" i="2"/>
  <c r="I22" i="7"/>
  <c r="S22" i="12"/>
  <c r="O22" i="12"/>
  <c r="W22" i="12"/>
  <c r="U22" i="12"/>
  <c r="Q22" i="12"/>
  <c r="G22" i="12"/>
  <c r="E22" i="12"/>
  <c r="S22" i="10"/>
  <c r="O22" i="10"/>
  <c r="M22" i="10"/>
  <c r="I22" i="10"/>
  <c r="E22" i="10"/>
  <c r="U22" i="10"/>
  <c r="W22" i="4"/>
  <c r="K22" i="4"/>
  <c r="S22" i="4"/>
  <c r="Q22" i="4"/>
  <c r="O22" i="4"/>
  <c r="U22" i="4"/>
  <c r="I22" i="4"/>
  <c r="E22" i="4"/>
  <c r="G22" i="4"/>
  <c r="M22" i="4"/>
  <c r="S22" i="7"/>
  <c r="E22" i="7"/>
  <c r="O22" i="7"/>
  <c r="M22" i="7"/>
  <c r="U22" i="7"/>
  <c r="O21" i="15"/>
  <c r="U21" i="15"/>
  <c r="W21" i="15"/>
  <c r="W22" i="5"/>
  <c r="Q22" i="5"/>
  <c r="I22" i="5"/>
  <c r="U22" i="5"/>
  <c r="S22" i="5"/>
  <c r="S21" i="15"/>
  <c r="Q21" i="15"/>
  <c r="M22" i="5"/>
  <c r="M21" i="15"/>
  <c r="K22" i="5"/>
  <c r="K21" i="15"/>
  <c r="I21" i="15"/>
  <c r="G22" i="5"/>
  <c r="E22" i="5"/>
  <c r="K22" i="8"/>
  <c r="M22" i="8"/>
  <c r="S22" i="2"/>
  <c r="O22" i="2"/>
  <c r="I4" i="14"/>
  <c r="I21" i="14" s="1"/>
  <c r="M22" i="2"/>
  <c r="I22" i="2"/>
  <c r="G22" i="2"/>
  <c r="U22" i="2"/>
  <c r="E22" i="2"/>
  <c r="Q5" i="8"/>
  <c r="Q22" i="8" s="1"/>
  <c r="G6" i="14"/>
  <c r="Y6" i="12"/>
  <c r="D5" i="13"/>
  <c r="Y6" i="5"/>
  <c r="R6" i="8"/>
  <c r="F5" i="13" s="1"/>
  <c r="T6" i="8"/>
  <c r="E15" i="14"/>
  <c r="G22" i="10"/>
  <c r="W22" i="3"/>
  <c r="Q22" i="3"/>
  <c r="K22" i="3"/>
  <c r="S22" i="3"/>
  <c r="E22" i="3"/>
  <c r="O22" i="9"/>
  <c r="Q22" i="9"/>
  <c r="S22" i="9"/>
  <c r="I22" i="9"/>
  <c r="E11" i="14"/>
  <c r="G7" i="14"/>
  <c r="E19" i="8"/>
  <c r="T19" i="8"/>
  <c r="Y14" i="4"/>
  <c r="E13" i="13" s="1"/>
  <c r="D13" i="13"/>
  <c r="I5" i="8"/>
  <c r="I22" i="8" s="1"/>
  <c r="E13" i="14"/>
  <c r="D18" i="13"/>
  <c r="N11" i="14"/>
  <c r="O11" i="14" s="1"/>
  <c r="G8" i="14"/>
  <c r="G4" i="14"/>
  <c r="N7" i="14"/>
  <c r="O7" i="14" s="1"/>
  <c r="Y5" i="11"/>
  <c r="S20" i="6"/>
  <c r="G11" i="1"/>
  <c r="T15" i="8"/>
  <c r="T13" i="8"/>
  <c r="N4" i="14"/>
  <c r="O4" i="14" s="1"/>
  <c r="P14" i="14"/>
  <c r="R14" i="14" s="1"/>
  <c r="G12" i="14"/>
  <c r="P13" i="14"/>
  <c r="Q13" i="14" s="1"/>
  <c r="T14" i="8"/>
  <c r="T12" i="8"/>
  <c r="P9" i="14"/>
  <c r="Q9" i="14" s="1"/>
  <c r="T16" i="8"/>
  <c r="N9" i="14"/>
  <c r="O9" i="14" s="1"/>
  <c r="G8" i="8"/>
  <c r="T8" i="8"/>
  <c r="N5" i="14"/>
  <c r="O5" i="14" s="1"/>
  <c r="E15" i="8"/>
  <c r="N13" i="14"/>
  <c r="O13" i="14" s="1"/>
  <c r="E13" i="8"/>
  <c r="N10" i="14"/>
  <c r="O10" i="14" s="1"/>
  <c r="E11" i="8"/>
  <c r="T11" i="8"/>
  <c r="E10" i="8"/>
  <c r="T10" i="8"/>
  <c r="E9" i="8"/>
  <c r="T9" i="8"/>
  <c r="E7" i="8"/>
  <c r="T7" i="8"/>
  <c r="E5" i="8"/>
  <c r="I20" i="6"/>
  <c r="G20" i="6"/>
  <c r="W20" i="6"/>
  <c r="Q20" i="6"/>
  <c r="M20" i="6"/>
  <c r="I22" i="12"/>
  <c r="R19" i="8"/>
  <c r="F18" i="13" s="1"/>
  <c r="O20" i="6"/>
  <c r="E9" i="14"/>
  <c r="E7" i="14"/>
  <c r="N6" i="14"/>
  <c r="O6" i="14" s="1"/>
  <c r="P5" i="14"/>
  <c r="R5" i="14" s="1"/>
  <c r="Q22" i="2"/>
  <c r="E6" i="8"/>
  <c r="R8" i="8"/>
  <c r="S8" i="8" s="1"/>
  <c r="V8" i="8" s="1"/>
  <c r="E8" i="8"/>
  <c r="I18" i="1"/>
  <c r="M18" i="11"/>
  <c r="AA18" i="11"/>
  <c r="G11" i="8"/>
  <c r="R11" i="8"/>
  <c r="S11" i="8" s="1"/>
  <c r="V11" i="8" s="1"/>
  <c r="Q22" i="7"/>
  <c r="R14" i="8"/>
  <c r="S14" i="8" s="1"/>
  <c r="V14" i="8" s="1"/>
  <c r="E14" i="8"/>
  <c r="E13" i="15"/>
  <c r="X13" i="15"/>
  <c r="Y13" i="15" s="1"/>
  <c r="E18" i="1"/>
  <c r="M18" i="1"/>
  <c r="I18" i="11"/>
  <c r="K4" i="14"/>
  <c r="K21" i="14" s="1"/>
  <c r="R7" i="8"/>
  <c r="R16" i="8"/>
  <c r="S16" i="8" s="1"/>
  <c r="V16" i="8" s="1"/>
  <c r="E16" i="8"/>
  <c r="Y8" i="3"/>
  <c r="E7" i="13" s="1"/>
  <c r="D7" i="13"/>
  <c r="Y12" i="3"/>
  <c r="E11" i="13" s="1"/>
  <c r="D11" i="13"/>
  <c r="Y16" i="3"/>
  <c r="E15" i="13" s="1"/>
  <c r="D15" i="13"/>
  <c r="K20" i="6"/>
  <c r="P4" i="14"/>
  <c r="R4" i="14" s="1"/>
  <c r="N12" i="14"/>
  <c r="O12" i="14" s="1"/>
  <c r="P12" i="14"/>
  <c r="X7" i="15"/>
  <c r="Y7" i="15" s="1"/>
  <c r="M21" i="14"/>
  <c r="R9" i="8"/>
  <c r="S9" i="8" s="1"/>
  <c r="V9" i="8" s="1"/>
  <c r="R13" i="8"/>
  <c r="S13" i="8" s="1"/>
  <c r="V13" i="8" s="1"/>
  <c r="D6" i="13"/>
  <c r="Y7" i="3"/>
  <c r="E6" i="13" s="1"/>
  <c r="D10" i="13"/>
  <c r="Y11" i="3"/>
  <c r="E10" i="13" s="1"/>
  <c r="D14" i="13"/>
  <c r="Y15" i="3"/>
  <c r="E14" i="13" s="1"/>
  <c r="G17" i="1"/>
  <c r="E4" i="14"/>
  <c r="G5" i="14"/>
  <c r="E6" i="14"/>
  <c r="E8" i="14"/>
  <c r="G9" i="14"/>
  <c r="E10" i="14"/>
  <c r="G11" i="14"/>
  <c r="E12" i="14"/>
  <c r="G13" i="14"/>
  <c r="E14" i="14"/>
  <c r="G15" i="14"/>
  <c r="R10" i="8"/>
  <c r="S10" i="8" s="1"/>
  <c r="V10" i="8" s="1"/>
  <c r="E12" i="8"/>
  <c r="R15" i="8"/>
  <c r="S15" i="8" s="1"/>
  <c r="V15" i="8" s="1"/>
  <c r="E9" i="13"/>
  <c r="P10" i="14"/>
  <c r="P15" i="14"/>
  <c r="G6" i="15"/>
  <c r="G21" i="15" s="1"/>
  <c r="X6" i="15"/>
  <c r="Y6" i="15" s="1"/>
  <c r="X11" i="15"/>
  <c r="Y11" i="15" s="1"/>
  <c r="D4" i="13"/>
  <c r="Y5" i="3"/>
  <c r="E4" i="13" s="1"/>
  <c r="D8" i="13"/>
  <c r="Y9" i="3"/>
  <c r="E8" i="13" s="1"/>
  <c r="D12" i="13"/>
  <c r="Y13" i="3"/>
  <c r="E12" i="13" s="1"/>
  <c r="X5" i="6"/>
  <c r="Y5" i="6" s="1"/>
  <c r="X7" i="6"/>
  <c r="Y7" i="6" s="1"/>
  <c r="X9" i="6"/>
  <c r="Y9" i="6" s="1"/>
  <c r="X11" i="6"/>
  <c r="Y11" i="6" s="1"/>
  <c r="X13" i="6"/>
  <c r="Y13" i="6" s="1"/>
  <c r="X15" i="6"/>
  <c r="Y15" i="6" s="1"/>
  <c r="X17" i="6"/>
  <c r="Y17" i="6" s="1"/>
  <c r="N8" i="14"/>
  <c r="O8" i="14" s="1"/>
  <c r="E5" i="15"/>
  <c r="X5" i="15"/>
  <c r="Y5" i="15" s="1"/>
  <c r="X18" i="15"/>
  <c r="Y18" i="15" s="1"/>
  <c r="E20" i="6"/>
  <c r="U20" i="6"/>
  <c r="X6" i="6"/>
  <c r="Y6" i="6" s="1"/>
  <c r="X8" i="6"/>
  <c r="Y8" i="6" s="1"/>
  <c r="X10" i="6"/>
  <c r="Y10" i="6" s="1"/>
  <c r="X12" i="6"/>
  <c r="Y12" i="6" s="1"/>
  <c r="X14" i="6"/>
  <c r="Y14" i="6" s="1"/>
  <c r="X16" i="6"/>
  <c r="Y16" i="6" s="1"/>
  <c r="D9" i="13"/>
  <c r="P6" i="14"/>
  <c r="P8" i="14"/>
  <c r="E9" i="15"/>
  <c r="X9" i="15"/>
  <c r="Y9" i="15" s="1"/>
  <c r="P7" i="14"/>
  <c r="P11" i="14"/>
  <c r="X10" i="15"/>
  <c r="Y10" i="15" s="1"/>
  <c r="X14" i="15"/>
  <c r="Y14" i="15" s="1"/>
  <c r="N15" i="14"/>
  <c r="O15" i="14" s="1"/>
  <c r="X4" i="15"/>
  <c r="Y4" i="15" s="1"/>
  <c r="X8" i="15"/>
  <c r="Y8" i="15" s="1"/>
  <c r="X12" i="15"/>
  <c r="Y12" i="15" s="1"/>
  <c r="N14" i="14"/>
  <c r="O14" i="14" s="1"/>
  <c r="X15" i="15"/>
  <c r="Y15" i="15" s="1"/>
  <c r="S12" i="8" l="1"/>
  <c r="V12" i="8" s="1"/>
  <c r="Y22" i="12"/>
  <c r="Y22" i="4"/>
  <c r="E21" i="15"/>
  <c r="Y21" i="15" s="1"/>
  <c r="G22" i="8"/>
  <c r="E22" i="8"/>
  <c r="H4" i="13"/>
  <c r="K4" i="13" s="1"/>
  <c r="E5" i="13"/>
  <c r="H5" i="13"/>
  <c r="K5" i="13" s="1"/>
  <c r="S6" i="8"/>
  <c r="V6" i="8" s="1"/>
  <c r="S7" i="8"/>
  <c r="V7" i="8" s="1"/>
  <c r="F6" i="13"/>
  <c r="H6" i="13" s="1"/>
  <c r="K6" i="13" s="1"/>
  <c r="U22" i="9"/>
  <c r="Y22" i="3"/>
  <c r="G18" i="1"/>
  <c r="O18" i="1" s="1"/>
  <c r="E18" i="13"/>
  <c r="R13" i="14"/>
  <c r="H18" i="13"/>
  <c r="K18" i="13" s="1"/>
  <c r="R9" i="14"/>
  <c r="Q14" i="14"/>
  <c r="G21" i="14"/>
  <c r="U19" i="8"/>
  <c r="W19" i="8" s="1"/>
  <c r="S19" i="8"/>
  <c r="V19" i="8" s="1"/>
  <c r="Q5" i="14"/>
  <c r="E21" i="14"/>
  <c r="R7" i="14"/>
  <c r="Q7" i="14"/>
  <c r="Q15" i="14"/>
  <c r="R15" i="14"/>
  <c r="U12" i="8"/>
  <c r="W12" i="8" s="1"/>
  <c r="U13" i="8"/>
  <c r="W13" i="8" s="1"/>
  <c r="F12" i="13"/>
  <c r="H12" i="13" s="1"/>
  <c r="K12" i="13" s="1"/>
  <c r="G12" i="13"/>
  <c r="I12" i="13" s="1"/>
  <c r="U6" i="8"/>
  <c r="W6" i="8" s="1"/>
  <c r="Q4" i="14"/>
  <c r="U5" i="8"/>
  <c r="S5" i="8"/>
  <c r="R8" i="14"/>
  <c r="Q8" i="14"/>
  <c r="Y20" i="6"/>
  <c r="Q10" i="14"/>
  <c r="R10" i="14"/>
  <c r="F9" i="13"/>
  <c r="H9" i="13" s="1"/>
  <c r="K9" i="13" s="1"/>
  <c r="U10" i="8"/>
  <c r="W10" i="8" s="1"/>
  <c r="G9" i="13"/>
  <c r="I9" i="13" s="1"/>
  <c r="F8" i="13"/>
  <c r="H8" i="13" s="1"/>
  <c r="K8" i="13" s="1"/>
  <c r="G8" i="13"/>
  <c r="I8" i="13" s="1"/>
  <c r="U9" i="8"/>
  <c r="W9" i="8" s="1"/>
  <c r="R12" i="14"/>
  <c r="Q12" i="14"/>
  <c r="F10" i="13"/>
  <c r="H10" i="13" s="1"/>
  <c r="K10" i="13" s="1"/>
  <c r="U11" i="8"/>
  <c r="W11" i="8" s="1"/>
  <c r="G10" i="13"/>
  <c r="I10" i="13" s="1"/>
  <c r="R11" i="14"/>
  <c r="Q11" i="14"/>
  <c r="Q6" i="14"/>
  <c r="R6" i="14"/>
  <c r="F14" i="13"/>
  <c r="H14" i="13" s="1"/>
  <c r="K14" i="13" s="1"/>
  <c r="U15" i="8"/>
  <c r="W15" i="8" s="1"/>
  <c r="G14" i="13"/>
  <c r="I14" i="13" s="1"/>
  <c r="F15" i="13"/>
  <c r="H15" i="13" s="1"/>
  <c r="K15" i="13" s="1"/>
  <c r="G15" i="13"/>
  <c r="I15" i="13" s="1"/>
  <c r="U16" i="8"/>
  <c r="W16" i="8" s="1"/>
  <c r="U7" i="8"/>
  <c r="W7" i="8" s="1"/>
  <c r="F13" i="13"/>
  <c r="H13" i="13" s="1"/>
  <c r="K13" i="13" s="1"/>
  <c r="U14" i="8"/>
  <c r="W14" i="8" s="1"/>
  <c r="G13" i="13"/>
  <c r="I13" i="13" s="1"/>
  <c r="F7" i="13"/>
  <c r="H7" i="13" s="1"/>
  <c r="K7" i="13" s="1"/>
  <c r="G7" i="13"/>
  <c r="I7" i="13" s="1"/>
  <c r="U8" i="8"/>
  <c r="W8" i="8" s="1"/>
  <c r="G11" i="13" l="1"/>
  <c r="I11" i="13" s="1"/>
  <c r="H11" i="13"/>
  <c r="K11" i="13" s="1"/>
  <c r="E21" i="13"/>
  <c r="W5" i="8"/>
  <c r="U22" i="8"/>
  <c r="W22" i="8" s="1"/>
  <c r="V5" i="8"/>
  <c r="S22" i="8"/>
  <c r="V22" i="8" s="1"/>
  <c r="G6" i="13"/>
  <c r="I6" i="13" s="1"/>
  <c r="G5" i="13"/>
  <c r="I5" i="13" s="1"/>
  <c r="G18" i="13"/>
  <c r="I18" i="13" s="1"/>
  <c r="O21" i="14"/>
  <c r="G4" i="13"/>
  <c r="R21" i="14"/>
  <c r="Q21" i="14"/>
  <c r="G21" i="13" l="1"/>
  <c r="I4" i="13"/>
  <c r="I21" i="13" s="1"/>
  <c r="O22" i="5"/>
  <c r="Y22" i="5" s="1"/>
</calcChain>
</file>

<file path=xl/sharedStrings.xml><?xml version="1.0" encoding="utf-8"?>
<sst xmlns="http://schemas.openxmlformats.org/spreadsheetml/2006/main" count="742" uniqueCount="62">
  <si>
    <t>MONTH</t>
  </si>
  <si>
    <t>KAYE</t>
  </si>
  <si>
    <t>SIKASSO</t>
  </si>
  <si>
    <t>SEGOU</t>
  </si>
  <si>
    <t>KUTIALLA</t>
  </si>
  <si>
    <t>MOPTI</t>
  </si>
  <si>
    <t>TOTAL</t>
  </si>
  <si>
    <t>PRODUCT NAME</t>
  </si>
  <si>
    <t>CIF</t>
  </si>
  <si>
    <t>Unit</t>
  </si>
  <si>
    <t>value</t>
  </si>
  <si>
    <t xml:space="preserve">Unit </t>
  </si>
  <si>
    <t>Value</t>
  </si>
  <si>
    <t>AQUANATE</t>
  </si>
  <si>
    <t>BACTOXIME SYRP</t>
  </si>
  <si>
    <t>BACTOXIME 200</t>
  </si>
  <si>
    <t>ESOPRA 20</t>
  </si>
  <si>
    <t>ESOPRA 40</t>
  </si>
  <si>
    <t>METAREN</t>
  </si>
  <si>
    <t>DIP3</t>
  </si>
  <si>
    <t>PALUCURE 20/120</t>
  </si>
  <si>
    <t>PALUCURE 80/480</t>
  </si>
  <si>
    <t>PALUCURE 40/240</t>
  </si>
  <si>
    <t>TRACLAV1125</t>
  </si>
  <si>
    <t>TRACLAV 625</t>
  </si>
  <si>
    <t>TRACLAV 1.2</t>
  </si>
  <si>
    <t xml:space="preserve"> </t>
  </si>
  <si>
    <t>COMMUNE 1</t>
  </si>
  <si>
    <t>COMMUNE 2</t>
  </si>
  <si>
    <t>COMMUNE 3</t>
  </si>
  <si>
    <t>COMMUNE 4</t>
  </si>
  <si>
    <t>COMMUNE 5</t>
  </si>
  <si>
    <t>COMMUNE 6</t>
  </si>
  <si>
    <t>KOULIKORO</t>
  </si>
  <si>
    <t>KATI</t>
  </si>
  <si>
    <t>BAMAKO/5</t>
  </si>
  <si>
    <t>BAMAKO EST</t>
  </si>
  <si>
    <t>BAMAKO CENTRE</t>
  </si>
  <si>
    <t>BAMAKO OUEST</t>
  </si>
  <si>
    <t>KITA</t>
  </si>
  <si>
    <t xml:space="preserve">        KOULIKORO</t>
  </si>
  <si>
    <t>SAN</t>
  </si>
  <si>
    <t>KEGNEBA</t>
  </si>
  <si>
    <t>BOUGOUNI</t>
  </si>
  <si>
    <t xml:space="preserve">KITA         </t>
  </si>
  <si>
    <t xml:space="preserve">               KIGNEBA</t>
  </si>
  <si>
    <t>OUTSTATION</t>
  </si>
  <si>
    <t>BAMAKO</t>
  </si>
  <si>
    <t>UNIT WISE ACUAL SALES</t>
  </si>
  <si>
    <t>COMMUNE 1 &amp;2</t>
  </si>
  <si>
    <t>COMMUNE 3&amp;4</t>
  </si>
  <si>
    <t>C1&amp;2,C3&amp;4,C5,C6</t>
  </si>
  <si>
    <t>value/person</t>
  </si>
  <si>
    <t>BAMAKO/4</t>
  </si>
  <si>
    <t>KENIGBA</t>
  </si>
  <si>
    <t xml:space="preserve">TRIAF- S </t>
  </si>
  <si>
    <t>PALUCURE PLUS 80/480</t>
  </si>
  <si>
    <t>BAMAKO RIVE DROITE</t>
  </si>
  <si>
    <t>TRACLAV1125 SACHT</t>
  </si>
  <si>
    <t>TUMI</t>
  </si>
  <si>
    <t>KAYES</t>
  </si>
  <si>
    <t>KOUTIALLA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</si>
</sst>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>
    <font>
      <sz val="11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>
      <protection locked="0"/>
    </xf>
  </cellStyleXfs>
  <cellXfs count="1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0" borderId="11" xfId="1" applyFont="1" applyBorder="1" applyAlignment="1" applyProtection="1">
      <alignment horizontal="left"/>
    </xf>
    <xf numFmtId="2" fontId="5" fillId="0" borderId="11" xfId="1" applyNumberFormat="1" applyFont="1" applyBorder="1" applyAlignment="1" applyProtection="1">
      <alignment horizontal="center"/>
    </xf>
    <xf numFmtId="1" fontId="6" fillId="2" borderId="11" xfId="0" applyNumberFormat="1" applyFont="1" applyFill="1" applyBorder="1" applyAlignment="1">
      <alignment horizontal="center"/>
    </xf>
    <xf numFmtId="14" fontId="5" fillId="0" borderId="11" xfId="1" applyNumberFormat="1" applyFont="1" applyBorder="1" applyAlignment="1" applyProtection="1">
      <alignment horizontal="left"/>
    </xf>
    <xf numFmtId="0" fontId="2" fillId="2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164" fontId="2" fillId="3" borderId="13" xfId="0" applyNumberFormat="1" applyFont="1" applyFill="1" applyBorder="1" applyAlignment="1">
      <alignment horizontal="center"/>
    </xf>
    <xf numFmtId="0" fontId="2" fillId="0" borderId="0" xfId="0" applyFont="1" applyAlignment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center"/>
    </xf>
    <xf numFmtId="1" fontId="2" fillId="3" borderId="13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wrapText="1"/>
    </xf>
    <xf numFmtId="0" fontId="0" fillId="0" borderId="11" xfId="0" applyBorder="1" applyAlignment="1"/>
    <xf numFmtId="0" fontId="2" fillId="2" borderId="17" xfId="0" applyFont="1" applyFill="1" applyBorder="1" applyAlignment="1">
      <alignment horizontal="center"/>
    </xf>
    <xf numFmtId="1" fontId="2" fillId="0" borderId="0" xfId="0" applyNumberFormat="1" applyFont="1" applyAlignment="1"/>
    <xf numFmtId="0" fontId="0" fillId="0" borderId="8" xfId="0" applyBorder="1" applyAlignment="1"/>
    <xf numFmtId="1" fontId="2" fillId="2" borderId="18" xfId="0" applyNumberFormat="1" applyFont="1" applyFill="1" applyBorder="1" applyAlignment="1">
      <alignment horizontal="center"/>
    </xf>
    <xf numFmtId="0" fontId="2" fillId="5" borderId="0" xfId="0" applyFont="1" applyFill="1" applyAlignment="1"/>
    <xf numFmtId="0" fontId="2" fillId="6" borderId="10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/>
    </xf>
    <xf numFmtId="1" fontId="6" fillId="6" borderId="11" xfId="0" applyNumberFormat="1" applyFont="1" applyFill="1" applyBorder="1" applyAlignment="1">
      <alignment horizontal="center"/>
    </xf>
    <xf numFmtId="2" fontId="2" fillId="6" borderId="11" xfId="0" applyNumberFormat="1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 wrapText="1"/>
    </xf>
    <xf numFmtId="1" fontId="2" fillId="9" borderId="11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1" fontId="0" fillId="0" borderId="0" xfId="0" applyNumberFormat="1">
      <alignment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2" fontId="2" fillId="3" borderId="13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0" fillId="0" borderId="27" xfId="0" applyBorder="1">
      <alignment vertical="center"/>
    </xf>
    <xf numFmtId="0" fontId="0" fillId="0" borderId="0" xfId="0" applyBorder="1">
      <alignment vertical="center"/>
    </xf>
    <xf numFmtId="0" fontId="2" fillId="0" borderId="27" xfId="0" applyFont="1" applyBorder="1" applyAlignment="1"/>
    <xf numFmtId="0" fontId="2" fillId="0" borderId="0" xfId="0" applyFont="1" applyBorder="1" applyAlignment="1"/>
    <xf numFmtId="2" fontId="11" fillId="0" borderId="11" xfId="1" applyNumberFormat="1" applyFont="1" applyBorder="1" applyAlignment="1" applyProtection="1">
      <alignment horizontal="center"/>
    </xf>
    <xf numFmtId="0" fontId="11" fillId="0" borderId="11" xfId="1" applyFont="1" applyBorder="1" applyAlignment="1" applyProtection="1">
      <alignment horizontal="left"/>
    </xf>
    <xf numFmtId="14" fontId="11" fillId="0" borderId="11" xfId="1" applyNumberFormat="1" applyFont="1" applyBorder="1" applyAlignment="1" applyProtection="1">
      <alignment horizontal="left"/>
    </xf>
    <xf numFmtId="1" fontId="11" fillId="2" borderId="11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1" fontId="12" fillId="2" borderId="18" xfId="0" applyNumberFormat="1" applyFont="1" applyFill="1" applyBorder="1" applyAlignment="1">
      <alignment horizontal="center"/>
    </xf>
    <xf numFmtId="1" fontId="12" fillId="2" borderId="1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wrapText="1"/>
    </xf>
    <xf numFmtId="0" fontId="0" fillId="0" borderId="7" xfId="0" applyBorder="1" applyAlignme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7" xfId="0" applyFont="1" applyBorder="1" applyAlignment="1"/>
    <xf numFmtId="0" fontId="7" fillId="6" borderId="6" xfId="0" applyFont="1" applyFill="1" applyBorder="1" applyAlignment="1">
      <alignment horizontal="center" wrapText="1"/>
    </xf>
    <xf numFmtId="0" fontId="2" fillId="7" borderId="7" xfId="0" applyFont="1" applyFill="1" applyBorder="1" applyAlignment="1"/>
    <xf numFmtId="0" fontId="8" fillId="8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wrapText="1"/>
    </xf>
    <xf numFmtId="0" fontId="0" fillId="0" borderId="20" xfId="0" applyBorder="1" applyAlignment="1"/>
    <xf numFmtId="0" fontId="10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2" fillId="0" borderId="8" xfId="0" applyFont="1" applyBorder="1" applyAlignment="1"/>
    <xf numFmtId="0" fontId="1" fillId="0" borderId="15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0" fillId="0" borderId="11" xfId="0" applyBorder="1" applyAlignment="1"/>
    <xf numFmtId="0" fontId="8" fillId="0" borderId="11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C7" sqref="C7"/>
    </sheetView>
  </sheetViews>
  <sheetFormatPr baseColWidth="10" defaultColWidth="14.453125" defaultRowHeight="14.5"/>
  <cols>
    <col min="1" max="1" width="11.453125" style="22" customWidth="1"/>
    <col min="2" max="2" width="22.54296875" style="22" customWidth="1"/>
    <col min="3" max="3" width="15.1796875" style="22" customWidth="1"/>
    <col min="4" max="16" width="9.54296875" style="22" customWidth="1"/>
    <col min="17" max="17" width="8.7265625" style="22" customWidth="1"/>
    <col min="18" max="16384" width="14.453125" style="22"/>
  </cols>
  <sheetData>
    <row r="1" spans="1:1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1" t="s">
        <v>0</v>
      </c>
      <c r="B2" s="2">
        <v>45627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5" customHeight="1">
      <c r="A3" s="4"/>
      <c r="B3" s="5"/>
      <c r="C3" s="6"/>
      <c r="D3" s="73" t="s">
        <v>1</v>
      </c>
      <c r="E3" s="74"/>
      <c r="F3" s="71" t="s">
        <v>2</v>
      </c>
      <c r="G3" s="72"/>
      <c r="H3" s="71" t="s">
        <v>3</v>
      </c>
      <c r="I3" s="72"/>
      <c r="J3" s="75" t="s">
        <v>4</v>
      </c>
      <c r="K3" s="76"/>
      <c r="L3" s="71" t="s">
        <v>5</v>
      </c>
      <c r="M3" s="77"/>
      <c r="N3" s="71" t="s">
        <v>6</v>
      </c>
      <c r="O3" s="72"/>
      <c r="P3" s="3"/>
    </row>
    <row r="4" spans="1:17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3"/>
    </row>
    <row r="5" spans="1:17">
      <c r="A5" s="11">
        <v>1</v>
      </c>
      <c r="B5" s="12" t="s">
        <v>13</v>
      </c>
      <c r="C5" s="13">
        <v>0.99</v>
      </c>
      <c r="D5" s="14">
        <v>2219</v>
      </c>
      <c r="E5" s="11">
        <f>D5*C5</f>
        <v>2196.81</v>
      </c>
      <c r="F5" s="14">
        <v>144</v>
      </c>
      <c r="G5" s="11">
        <f t="shared" ref="G5:G17" si="0">F5*C5</f>
        <v>142.56</v>
      </c>
      <c r="H5" s="11">
        <v>5737</v>
      </c>
      <c r="I5" s="11">
        <f t="shared" ref="I5:I17" si="1">H5*C5</f>
        <v>5679.63</v>
      </c>
      <c r="J5" s="11">
        <v>356</v>
      </c>
      <c r="K5" s="11">
        <f t="shared" ref="K5:K17" si="2">J5*C5</f>
        <v>352.44</v>
      </c>
      <c r="L5" s="11">
        <v>4329</v>
      </c>
      <c r="M5" s="11">
        <f t="shared" ref="M5:M17" si="3">L5*C5</f>
        <v>4285.71</v>
      </c>
      <c r="N5" s="20">
        <f>D5+F5+H5+J5+L5</f>
        <v>12785</v>
      </c>
      <c r="O5" s="11">
        <f t="shared" ref="O5:O17" si="4">N5*C5</f>
        <v>12657.15</v>
      </c>
      <c r="P5" s="3"/>
    </row>
    <row r="6" spans="1:17">
      <c r="A6" s="11">
        <v>2</v>
      </c>
      <c r="B6" s="12" t="s">
        <v>14</v>
      </c>
      <c r="C6" s="13">
        <v>2.29</v>
      </c>
      <c r="D6" s="14">
        <v>102</v>
      </c>
      <c r="E6" s="11">
        <f t="shared" ref="E6:E17" si="5">D6*C6</f>
        <v>233.58</v>
      </c>
      <c r="F6" s="14">
        <v>78</v>
      </c>
      <c r="G6" s="11">
        <f t="shared" si="0"/>
        <v>178.62</v>
      </c>
      <c r="H6" s="11">
        <v>97</v>
      </c>
      <c r="I6" s="11">
        <f t="shared" si="1"/>
        <v>222.13</v>
      </c>
      <c r="J6" s="11">
        <v>156</v>
      </c>
      <c r="K6" s="11">
        <f t="shared" si="2"/>
        <v>357.24</v>
      </c>
      <c r="L6" s="11">
        <v>102</v>
      </c>
      <c r="M6" s="11">
        <f t="shared" si="3"/>
        <v>233.58</v>
      </c>
      <c r="N6" s="20">
        <f t="shared" ref="N6:N17" si="6">D6+F6+H6+J6+L6</f>
        <v>535</v>
      </c>
      <c r="O6" s="11">
        <f t="shared" si="4"/>
        <v>1225.1500000000001</v>
      </c>
      <c r="P6" s="3"/>
    </row>
    <row r="7" spans="1:17">
      <c r="A7" s="11">
        <v>3</v>
      </c>
      <c r="B7" s="12" t="s">
        <v>15</v>
      </c>
      <c r="C7" s="13">
        <v>3.66</v>
      </c>
      <c r="D7" s="14">
        <v>116</v>
      </c>
      <c r="E7" s="11">
        <f t="shared" si="5"/>
        <v>424.56</v>
      </c>
      <c r="F7" s="14">
        <v>65</v>
      </c>
      <c r="G7" s="11">
        <f t="shared" si="0"/>
        <v>237.9</v>
      </c>
      <c r="H7" s="11">
        <v>204</v>
      </c>
      <c r="I7" s="11">
        <f t="shared" si="1"/>
        <v>746.64</v>
      </c>
      <c r="J7" s="11">
        <v>205</v>
      </c>
      <c r="K7" s="11">
        <f t="shared" si="2"/>
        <v>750.30000000000007</v>
      </c>
      <c r="L7" s="11">
        <v>180</v>
      </c>
      <c r="M7" s="11">
        <f t="shared" si="3"/>
        <v>658.80000000000007</v>
      </c>
      <c r="N7" s="20">
        <f t="shared" si="6"/>
        <v>770</v>
      </c>
      <c r="O7" s="11">
        <f t="shared" si="4"/>
        <v>2818.2000000000003</v>
      </c>
      <c r="P7" s="3"/>
    </row>
    <row r="8" spans="1:17">
      <c r="A8" s="11">
        <v>4</v>
      </c>
      <c r="B8" s="12" t="s">
        <v>16</v>
      </c>
      <c r="C8" s="13">
        <v>2.81</v>
      </c>
      <c r="D8" s="14">
        <v>23</v>
      </c>
      <c r="E8" s="11">
        <f t="shared" si="5"/>
        <v>64.63</v>
      </c>
      <c r="F8" s="14">
        <v>8</v>
      </c>
      <c r="G8" s="11">
        <f t="shared" si="0"/>
        <v>22.48</v>
      </c>
      <c r="H8" s="11">
        <v>13</v>
      </c>
      <c r="I8" s="11">
        <f t="shared" si="1"/>
        <v>36.53</v>
      </c>
      <c r="J8" s="11">
        <v>5</v>
      </c>
      <c r="K8" s="11">
        <f t="shared" si="2"/>
        <v>14.05</v>
      </c>
      <c r="L8" s="11">
        <v>10</v>
      </c>
      <c r="M8" s="11">
        <f t="shared" si="3"/>
        <v>28.1</v>
      </c>
      <c r="N8" s="20">
        <f t="shared" si="6"/>
        <v>59</v>
      </c>
      <c r="O8" s="11">
        <f t="shared" si="4"/>
        <v>165.79</v>
      </c>
      <c r="P8" s="3"/>
    </row>
    <row r="9" spans="1:17">
      <c r="A9" s="11">
        <v>5</v>
      </c>
      <c r="B9" s="12" t="s">
        <v>17</v>
      </c>
      <c r="C9" s="13">
        <v>3.46</v>
      </c>
      <c r="D9" s="14">
        <v>80</v>
      </c>
      <c r="E9" s="11">
        <f t="shared" si="5"/>
        <v>276.8</v>
      </c>
      <c r="F9" s="14">
        <v>20</v>
      </c>
      <c r="G9" s="11">
        <f t="shared" si="0"/>
        <v>69.2</v>
      </c>
      <c r="H9" s="11">
        <v>29</v>
      </c>
      <c r="I9" s="11">
        <f t="shared" si="1"/>
        <v>100.34</v>
      </c>
      <c r="J9" s="11">
        <v>10</v>
      </c>
      <c r="K9" s="11">
        <f t="shared" si="2"/>
        <v>34.6</v>
      </c>
      <c r="L9" s="11">
        <v>14</v>
      </c>
      <c r="M9" s="11">
        <f t="shared" si="3"/>
        <v>48.44</v>
      </c>
      <c r="N9" s="20">
        <f t="shared" si="6"/>
        <v>153</v>
      </c>
      <c r="O9" s="11">
        <f t="shared" si="4"/>
        <v>529.38</v>
      </c>
      <c r="P9" s="3"/>
    </row>
    <row r="10" spans="1:17">
      <c r="A10" s="11">
        <v>6</v>
      </c>
      <c r="B10" s="12" t="s">
        <v>18</v>
      </c>
      <c r="C10" s="13">
        <v>1.06</v>
      </c>
      <c r="D10" s="14">
        <v>27</v>
      </c>
      <c r="E10" s="11">
        <f t="shared" si="5"/>
        <v>28.62</v>
      </c>
      <c r="F10" s="14">
        <v>34</v>
      </c>
      <c r="G10" s="11">
        <f t="shared" si="0"/>
        <v>36.04</v>
      </c>
      <c r="H10" s="11">
        <v>22</v>
      </c>
      <c r="I10" s="11">
        <f t="shared" si="1"/>
        <v>23.32</v>
      </c>
      <c r="J10" s="11">
        <v>34</v>
      </c>
      <c r="K10" s="11">
        <f t="shared" si="2"/>
        <v>36.04</v>
      </c>
      <c r="L10" s="11">
        <v>52</v>
      </c>
      <c r="M10" s="11">
        <f t="shared" si="3"/>
        <v>55.120000000000005</v>
      </c>
      <c r="N10" s="20">
        <f t="shared" si="6"/>
        <v>169</v>
      </c>
      <c r="O10" s="11">
        <f t="shared" si="4"/>
        <v>179.14000000000001</v>
      </c>
      <c r="P10" s="3"/>
    </row>
    <row r="11" spans="1:17">
      <c r="A11" s="11">
        <v>7</v>
      </c>
      <c r="B11" s="12" t="s">
        <v>19</v>
      </c>
      <c r="C11" s="13">
        <v>3.63</v>
      </c>
      <c r="D11" s="14">
        <v>8</v>
      </c>
      <c r="E11" s="11">
        <f t="shared" si="5"/>
        <v>29.04</v>
      </c>
      <c r="F11" s="14">
        <f>'UBIPHARM-OUTSTATION'!P11+'LABOREX OUTSTATION'!P11</f>
        <v>0</v>
      </c>
      <c r="G11" s="11">
        <f t="shared" si="0"/>
        <v>0</v>
      </c>
      <c r="H11" s="11">
        <v>0</v>
      </c>
      <c r="I11" s="11">
        <f t="shared" si="1"/>
        <v>0</v>
      </c>
      <c r="J11" s="11">
        <v>1</v>
      </c>
      <c r="K11" s="11">
        <f t="shared" si="2"/>
        <v>3.63</v>
      </c>
      <c r="L11" s="11">
        <v>10</v>
      </c>
      <c r="M11" s="11">
        <f t="shared" si="3"/>
        <v>36.299999999999997</v>
      </c>
      <c r="N11" s="20">
        <f t="shared" si="6"/>
        <v>19</v>
      </c>
      <c r="O11" s="11">
        <f t="shared" si="4"/>
        <v>68.97</v>
      </c>
      <c r="P11" s="3"/>
    </row>
    <row r="12" spans="1:17">
      <c r="A12" s="11">
        <v>8</v>
      </c>
      <c r="B12" s="12" t="s">
        <v>20</v>
      </c>
      <c r="C12" s="13">
        <v>0.85</v>
      </c>
      <c r="D12" s="14">
        <v>0</v>
      </c>
      <c r="E12" s="11">
        <f t="shared" si="5"/>
        <v>0</v>
      </c>
      <c r="F12" s="14">
        <v>9</v>
      </c>
      <c r="G12" s="11">
        <f t="shared" si="0"/>
        <v>7.6499999999999995</v>
      </c>
      <c r="H12" s="11">
        <v>3</v>
      </c>
      <c r="I12" s="11">
        <f t="shared" si="1"/>
        <v>2.5499999999999998</v>
      </c>
      <c r="J12" s="11">
        <v>10</v>
      </c>
      <c r="K12" s="11">
        <f t="shared" si="2"/>
        <v>8.5</v>
      </c>
      <c r="L12" s="11">
        <v>12</v>
      </c>
      <c r="M12" s="11">
        <f t="shared" si="3"/>
        <v>10.199999999999999</v>
      </c>
      <c r="N12" s="20">
        <f t="shared" si="6"/>
        <v>34</v>
      </c>
      <c r="O12" s="11">
        <f t="shared" si="4"/>
        <v>28.9</v>
      </c>
      <c r="P12" s="3"/>
    </row>
    <row r="13" spans="1:17" ht="15" customHeight="1">
      <c r="A13" s="11">
        <v>9</v>
      </c>
      <c r="B13" s="12" t="s">
        <v>21</v>
      </c>
      <c r="C13" s="13">
        <v>1.98</v>
      </c>
      <c r="D13" s="14">
        <v>246</v>
      </c>
      <c r="E13" s="11">
        <f t="shared" si="5"/>
        <v>487.08</v>
      </c>
      <c r="F13" s="14">
        <v>120</v>
      </c>
      <c r="G13" s="11">
        <f t="shared" si="0"/>
        <v>237.6</v>
      </c>
      <c r="H13" s="11">
        <v>164</v>
      </c>
      <c r="I13" s="11">
        <f t="shared" si="1"/>
        <v>324.71999999999997</v>
      </c>
      <c r="J13" s="11">
        <v>63</v>
      </c>
      <c r="K13" s="11">
        <f t="shared" si="2"/>
        <v>124.74</v>
      </c>
      <c r="L13" s="11">
        <v>174</v>
      </c>
      <c r="M13" s="11">
        <f t="shared" si="3"/>
        <v>344.52</v>
      </c>
      <c r="N13" s="20">
        <f t="shared" si="6"/>
        <v>767</v>
      </c>
      <c r="O13" s="11">
        <f t="shared" si="4"/>
        <v>1518.66</v>
      </c>
      <c r="P13" s="3"/>
    </row>
    <row r="14" spans="1:17">
      <c r="A14" s="11">
        <v>10</v>
      </c>
      <c r="B14" s="15" t="s">
        <v>22</v>
      </c>
      <c r="C14" s="13">
        <v>1.98</v>
      </c>
      <c r="D14" s="14">
        <v>19</v>
      </c>
      <c r="E14" s="11">
        <f t="shared" si="5"/>
        <v>37.619999999999997</v>
      </c>
      <c r="F14" s="14">
        <v>13</v>
      </c>
      <c r="G14" s="11">
        <f t="shared" si="0"/>
        <v>25.74</v>
      </c>
      <c r="H14" s="11">
        <v>19</v>
      </c>
      <c r="I14" s="11">
        <f t="shared" si="1"/>
        <v>37.619999999999997</v>
      </c>
      <c r="J14" s="11">
        <v>21</v>
      </c>
      <c r="K14" s="11">
        <f t="shared" si="2"/>
        <v>41.58</v>
      </c>
      <c r="L14" s="11">
        <v>24</v>
      </c>
      <c r="M14" s="11">
        <f t="shared" si="3"/>
        <v>47.519999999999996</v>
      </c>
      <c r="N14" s="20">
        <f t="shared" si="6"/>
        <v>96</v>
      </c>
      <c r="O14" s="11">
        <f t="shared" si="4"/>
        <v>190.07999999999998</v>
      </c>
      <c r="P14" s="3"/>
    </row>
    <row r="15" spans="1:17" ht="13.5" customHeight="1">
      <c r="A15" s="11">
        <v>11</v>
      </c>
      <c r="B15" s="12" t="s">
        <v>23</v>
      </c>
      <c r="C15" s="13">
        <v>4.6900000000000004</v>
      </c>
      <c r="D15" s="14">
        <v>34</v>
      </c>
      <c r="E15" s="11">
        <f t="shared" si="5"/>
        <v>159.46</v>
      </c>
      <c r="F15" s="14">
        <v>18</v>
      </c>
      <c r="G15" s="11">
        <f t="shared" si="0"/>
        <v>84.42</v>
      </c>
      <c r="H15" s="32">
        <v>7</v>
      </c>
      <c r="I15" s="11">
        <f t="shared" si="1"/>
        <v>32.830000000000005</v>
      </c>
      <c r="J15" s="32">
        <v>10</v>
      </c>
      <c r="K15" s="11">
        <f t="shared" si="2"/>
        <v>46.900000000000006</v>
      </c>
      <c r="L15" s="32">
        <v>19</v>
      </c>
      <c r="M15" s="11">
        <f t="shared" si="3"/>
        <v>89.110000000000014</v>
      </c>
      <c r="N15" s="20">
        <f t="shared" si="6"/>
        <v>88</v>
      </c>
      <c r="O15" s="11">
        <f t="shared" si="4"/>
        <v>412.72</v>
      </c>
      <c r="P15" s="3"/>
    </row>
    <row r="16" spans="1:17">
      <c r="A16" s="11">
        <v>12</v>
      </c>
      <c r="B16" s="12" t="s">
        <v>24</v>
      </c>
      <c r="C16" s="13">
        <v>2.9</v>
      </c>
      <c r="D16" s="14">
        <v>32</v>
      </c>
      <c r="E16" s="11">
        <f t="shared" si="5"/>
        <v>92.8</v>
      </c>
      <c r="F16" s="14">
        <v>8</v>
      </c>
      <c r="G16" s="11">
        <f t="shared" si="0"/>
        <v>23.2</v>
      </c>
      <c r="H16" s="32">
        <v>4</v>
      </c>
      <c r="I16" s="11">
        <f t="shared" si="1"/>
        <v>11.6</v>
      </c>
      <c r="J16" s="32">
        <v>13</v>
      </c>
      <c r="K16" s="11">
        <f t="shared" si="2"/>
        <v>37.699999999999996</v>
      </c>
      <c r="L16" s="32">
        <v>22</v>
      </c>
      <c r="M16" s="11">
        <f t="shared" si="3"/>
        <v>63.8</v>
      </c>
      <c r="N16" s="20">
        <f t="shared" si="6"/>
        <v>79</v>
      </c>
      <c r="O16" s="11">
        <f t="shared" si="4"/>
        <v>229.1</v>
      </c>
      <c r="P16" s="3"/>
    </row>
    <row r="17" spans="1:17">
      <c r="A17" s="11">
        <v>13</v>
      </c>
      <c r="B17" s="12" t="s">
        <v>25</v>
      </c>
      <c r="C17" s="13">
        <v>1.5</v>
      </c>
      <c r="D17" s="31">
        <v>217</v>
      </c>
      <c r="E17" s="11">
        <f t="shared" si="5"/>
        <v>325.5</v>
      </c>
      <c r="F17" s="14">
        <f>'UBIPHARM-OUTSTATION'!P19+'LABOREX OUTSTATION'!P19</f>
        <v>0</v>
      </c>
      <c r="G17" s="11">
        <f t="shared" si="0"/>
        <v>0</v>
      </c>
      <c r="H17" s="32">
        <v>70</v>
      </c>
      <c r="I17" s="11">
        <f t="shared" si="1"/>
        <v>105</v>
      </c>
      <c r="J17" s="32">
        <v>14.5</v>
      </c>
      <c r="K17" s="11">
        <f t="shared" si="2"/>
        <v>21.75</v>
      </c>
      <c r="L17" s="32">
        <v>120</v>
      </c>
      <c r="M17" s="11">
        <f t="shared" si="3"/>
        <v>180</v>
      </c>
      <c r="N17" s="20">
        <f t="shared" si="6"/>
        <v>421.5</v>
      </c>
      <c r="O17" s="11">
        <f t="shared" si="4"/>
        <v>632.25</v>
      </c>
      <c r="P17" s="3"/>
    </row>
    <row r="18" spans="1:17">
      <c r="A18" s="16"/>
      <c r="B18" s="17" t="s">
        <v>6</v>
      </c>
      <c r="C18" s="17"/>
      <c r="D18" s="17"/>
      <c r="E18" s="17">
        <f>SUM(E5:E17)</f>
        <v>4356.5</v>
      </c>
      <c r="F18" s="17"/>
      <c r="G18" s="17">
        <f>SUM(G5:G17)</f>
        <v>1065.4100000000001</v>
      </c>
      <c r="H18" s="17"/>
      <c r="I18" s="17">
        <f>SUM(I5:I17)</f>
        <v>7322.9100000000008</v>
      </c>
      <c r="J18" s="17"/>
      <c r="K18" s="17">
        <f>SUM(K5:K17)</f>
        <v>1829.47</v>
      </c>
      <c r="L18" s="17"/>
      <c r="M18" s="17">
        <f>SUM(M5:M17)</f>
        <v>6081.2000000000007</v>
      </c>
      <c r="N18" s="17"/>
      <c r="O18" s="17">
        <f>SUM(E18+G18+I18+K18+M18)</f>
        <v>20655.489999999998</v>
      </c>
      <c r="P18" s="3"/>
    </row>
    <row r="19" spans="1:1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>
      <c r="A20" s="3"/>
      <c r="B20" s="3"/>
      <c r="C20" s="3"/>
      <c r="D20" s="3" t="s">
        <v>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</sheetData>
  <mergeCells count="6">
    <mergeCell ref="N3:O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xSplit="2" topLeftCell="N1" activePane="topRight" state="frozen"/>
      <selection pane="topRight" activeCell="O13" sqref="O13"/>
    </sheetView>
  </sheetViews>
  <sheetFormatPr baseColWidth="10" defaultColWidth="14.453125" defaultRowHeight="14.5"/>
  <cols>
    <col min="1" max="1" width="4.54296875" style="22" customWidth="1"/>
    <col min="2" max="2" width="22.54296875" style="22" customWidth="1"/>
    <col min="3" max="3" width="10.1796875" style="22" customWidth="1"/>
    <col min="4" max="27" width="9.54296875" style="22" customWidth="1"/>
    <col min="28" max="16384" width="14.453125" style="2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0</v>
      </c>
      <c r="B2" s="2">
        <v>45748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4"/>
      <c r="B3" s="5"/>
      <c r="C3" s="6"/>
      <c r="D3" s="73" t="s">
        <v>27</v>
      </c>
      <c r="E3" s="74"/>
      <c r="F3" s="71" t="s">
        <v>28</v>
      </c>
      <c r="G3" s="72"/>
      <c r="H3" s="80" t="s">
        <v>6</v>
      </c>
      <c r="I3" s="81"/>
      <c r="J3" s="71" t="s">
        <v>29</v>
      </c>
      <c r="K3" s="72"/>
      <c r="L3" s="71" t="s">
        <v>30</v>
      </c>
      <c r="M3" s="72"/>
      <c r="N3" s="80" t="s">
        <v>6</v>
      </c>
      <c r="O3" s="81"/>
      <c r="P3" s="71" t="s">
        <v>31</v>
      </c>
      <c r="Q3" s="72"/>
      <c r="R3" s="71" t="s">
        <v>32</v>
      </c>
      <c r="S3" s="72"/>
      <c r="T3" s="75" t="s">
        <v>33</v>
      </c>
      <c r="U3" s="76"/>
      <c r="V3" s="71" t="s">
        <v>34</v>
      </c>
      <c r="W3" s="77"/>
      <c r="X3" s="71" t="s">
        <v>6</v>
      </c>
      <c r="Y3" s="72"/>
      <c r="Z3" s="78" t="s">
        <v>35</v>
      </c>
      <c r="AA3" s="79"/>
    </row>
    <row r="4" spans="1:27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44" t="s">
        <v>11</v>
      </c>
      <c r="I4" s="47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44" t="s">
        <v>11</v>
      </c>
      <c r="O4" s="47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18" t="s">
        <v>11</v>
      </c>
      <c r="W4" s="19" t="s">
        <v>12</v>
      </c>
      <c r="X4" s="18" t="s">
        <v>11</v>
      </c>
      <c r="Y4" s="19" t="s">
        <v>12</v>
      </c>
      <c r="Z4" s="40" t="s">
        <v>11</v>
      </c>
      <c r="AA4" s="41" t="s">
        <v>12</v>
      </c>
    </row>
    <row r="5" spans="1:27">
      <c r="A5" s="11">
        <v>1</v>
      </c>
      <c r="B5" s="12" t="s">
        <v>13</v>
      </c>
      <c r="C5" s="13">
        <v>0.99</v>
      </c>
      <c r="D5" s="14">
        <v>1333</v>
      </c>
      <c r="E5" s="11">
        <f>D5*C5</f>
        <v>1319.67</v>
      </c>
      <c r="F5" s="14">
        <v>282</v>
      </c>
      <c r="G5" s="11">
        <f>F5*C5</f>
        <v>279.18</v>
      </c>
      <c r="H5" s="45">
        <f>D5+F5</f>
        <v>1615</v>
      </c>
      <c r="I5" s="48">
        <f>C5*H5</f>
        <v>1598.85</v>
      </c>
      <c r="J5" s="14">
        <v>862</v>
      </c>
      <c r="K5" s="11">
        <f>J5*C5</f>
        <v>853.38</v>
      </c>
      <c r="L5" s="14">
        <v>649</v>
      </c>
      <c r="M5" s="11">
        <f>L5*C5</f>
        <v>642.51</v>
      </c>
      <c r="N5" s="45">
        <f>J5+L5</f>
        <v>1511</v>
      </c>
      <c r="O5" s="48">
        <f>C5*N5</f>
        <v>1495.89</v>
      </c>
      <c r="P5" s="14">
        <v>1528</v>
      </c>
      <c r="Q5" s="11">
        <f>P5*C5</f>
        <v>1512.72</v>
      </c>
      <c r="R5" s="14">
        <v>1161</v>
      </c>
      <c r="S5" s="11">
        <f>R5*C5</f>
        <v>1149.3900000000001</v>
      </c>
      <c r="T5" s="14"/>
      <c r="U5" s="11">
        <f>T5*C5</f>
        <v>0</v>
      </c>
      <c r="V5" s="14">
        <v>5850</v>
      </c>
      <c r="W5" s="11">
        <f>V5*C5</f>
        <v>5791.5</v>
      </c>
      <c r="X5" s="26">
        <f>D5+F5+J5+L5+P5+R5+T5+V5</f>
        <v>11665</v>
      </c>
      <c r="Y5" s="11">
        <f>X5*C5</f>
        <v>11548.35</v>
      </c>
      <c r="Z5" s="42">
        <f>X5/5</f>
        <v>2333</v>
      </c>
      <c r="AA5" s="49">
        <f>Z5*C5</f>
        <v>2309.67</v>
      </c>
    </row>
    <row r="6" spans="1:27">
      <c r="A6" s="11">
        <v>2</v>
      </c>
      <c r="B6" s="12" t="s">
        <v>14</v>
      </c>
      <c r="C6" s="13">
        <v>2.29</v>
      </c>
      <c r="D6" s="14">
        <v>51</v>
      </c>
      <c r="E6" s="11">
        <f t="shared" ref="E6:E17" si="0">D6*C6</f>
        <v>116.79</v>
      </c>
      <c r="F6" s="14">
        <v>15</v>
      </c>
      <c r="G6" s="11">
        <f t="shared" ref="G6:G17" si="1">F6*C6</f>
        <v>34.35</v>
      </c>
      <c r="H6" s="45">
        <f t="shared" ref="H6:H17" si="2">D6+F6</f>
        <v>66</v>
      </c>
      <c r="I6" s="48">
        <f t="shared" ref="I6:I17" si="3">C6*H6</f>
        <v>151.14000000000001</v>
      </c>
      <c r="J6" s="14">
        <v>15</v>
      </c>
      <c r="K6" s="11">
        <f t="shared" ref="K6:K17" si="4">J6*C6</f>
        <v>34.35</v>
      </c>
      <c r="L6" s="14">
        <v>59</v>
      </c>
      <c r="M6" s="11">
        <f t="shared" ref="M6:M17" si="5">L6*C6</f>
        <v>135.11000000000001</v>
      </c>
      <c r="N6" s="45">
        <f t="shared" ref="N6:N17" si="6">J6+L6</f>
        <v>74</v>
      </c>
      <c r="O6" s="48">
        <f t="shared" ref="O6:O17" si="7">C6*N6</f>
        <v>169.46</v>
      </c>
      <c r="P6" s="14">
        <v>43</v>
      </c>
      <c r="Q6" s="11">
        <f t="shared" ref="Q6:Q17" si="8">P6*C6</f>
        <v>98.47</v>
      </c>
      <c r="R6" s="14">
        <v>168</v>
      </c>
      <c r="S6" s="11">
        <f t="shared" ref="S6:S17" si="9">R6*C6</f>
        <v>384.72</v>
      </c>
      <c r="T6" s="14"/>
      <c r="U6" s="11">
        <f t="shared" ref="U6:U17" si="10">T6*C6</f>
        <v>0</v>
      </c>
      <c r="V6" s="14">
        <v>35</v>
      </c>
      <c r="W6" s="11">
        <f t="shared" ref="W6:W17" si="11">V6*C6</f>
        <v>80.150000000000006</v>
      </c>
      <c r="X6" s="26">
        <f t="shared" ref="X6:X17" si="12">D6+F6+J6+L6+P6+R6+T6+V6</f>
        <v>386</v>
      </c>
      <c r="Y6" s="11">
        <f t="shared" ref="Y6:Y17" si="13">X6*C6</f>
        <v>883.94</v>
      </c>
      <c r="Z6" s="42">
        <f t="shared" ref="Z6:Z17" si="14">X6/5</f>
        <v>77.2</v>
      </c>
      <c r="AA6" s="49">
        <f t="shared" ref="AA6:AA17" si="15">Z6*C6</f>
        <v>176.78800000000001</v>
      </c>
    </row>
    <row r="7" spans="1:27">
      <c r="A7" s="11">
        <v>3</v>
      </c>
      <c r="B7" s="12" t="s">
        <v>15</v>
      </c>
      <c r="C7" s="13">
        <v>3.66</v>
      </c>
      <c r="D7" s="14">
        <v>49</v>
      </c>
      <c r="E7" s="11">
        <f t="shared" si="0"/>
        <v>179.34</v>
      </c>
      <c r="F7" s="14">
        <v>18</v>
      </c>
      <c r="G7" s="11">
        <f t="shared" si="1"/>
        <v>65.88</v>
      </c>
      <c r="H7" s="45">
        <f t="shared" si="2"/>
        <v>67</v>
      </c>
      <c r="I7" s="48">
        <f t="shared" si="3"/>
        <v>245.22</v>
      </c>
      <c r="J7" s="14">
        <v>19</v>
      </c>
      <c r="K7" s="11">
        <f t="shared" si="4"/>
        <v>69.540000000000006</v>
      </c>
      <c r="L7" s="14">
        <v>25</v>
      </c>
      <c r="M7" s="11">
        <f t="shared" si="5"/>
        <v>91.5</v>
      </c>
      <c r="N7" s="45">
        <f t="shared" si="6"/>
        <v>44</v>
      </c>
      <c r="O7" s="48">
        <f t="shared" si="7"/>
        <v>161.04000000000002</v>
      </c>
      <c r="P7" s="14">
        <v>65</v>
      </c>
      <c r="Q7" s="11">
        <f t="shared" si="8"/>
        <v>237.9</v>
      </c>
      <c r="R7" s="14">
        <v>99</v>
      </c>
      <c r="S7" s="11">
        <f t="shared" si="9"/>
        <v>362.34000000000003</v>
      </c>
      <c r="T7" s="14"/>
      <c r="U7" s="11">
        <f t="shared" si="10"/>
        <v>0</v>
      </c>
      <c r="V7" s="14">
        <v>72</v>
      </c>
      <c r="W7" s="11">
        <f t="shared" si="11"/>
        <v>263.52</v>
      </c>
      <c r="X7" s="26">
        <f t="shared" si="12"/>
        <v>347</v>
      </c>
      <c r="Y7" s="11">
        <f t="shared" si="13"/>
        <v>1270.02</v>
      </c>
      <c r="Z7" s="42">
        <f t="shared" si="14"/>
        <v>69.400000000000006</v>
      </c>
      <c r="AA7" s="49">
        <f t="shared" si="15"/>
        <v>254.00400000000002</v>
      </c>
    </row>
    <row r="8" spans="1:27">
      <c r="A8" s="11">
        <v>4</v>
      </c>
      <c r="B8" s="12" t="s">
        <v>16</v>
      </c>
      <c r="C8" s="13">
        <v>2.81</v>
      </c>
      <c r="D8" s="14">
        <v>9</v>
      </c>
      <c r="E8" s="11">
        <f t="shared" si="0"/>
        <v>25.29</v>
      </c>
      <c r="F8" s="14">
        <v>10</v>
      </c>
      <c r="G8" s="11">
        <f t="shared" si="1"/>
        <v>28.1</v>
      </c>
      <c r="H8" s="45">
        <f t="shared" si="2"/>
        <v>19</v>
      </c>
      <c r="I8" s="48">
        <f t="shared" si="3"/>
        <v>53.39</v>
      </c>
      <c r="J8" s="14">
        <v>7</v>
      </c>
      <c r="K8" s="11">
        <f t="shared" si="4"/>
        <v>19.670000000000002</v>
      </c>
      <c r="L8" s="14">
        <v>16</v>
      </c>
      <c r="M8" s="11">
        <f t="shared" si="5"/>
        <v>44.96</v>
      </c>
      <c r="N8" s="45">
        <f t="shared" si="6"/>
        <v>23</v>
      </c>
      <c r="O8" s="48">
        <f t="shared" si="7"/>
        <v>64.63</v>
      </c>
      <c r="P8" s="14">
        <v>9</v>
      </c>
      <c r="Q8" s="11">
        <f t="shared" si="8"/>
        <v>25.29</v>
      </c>
      <c r="R8" s="14">
        <v>8</v>
      </c>
      <c r="S8" s="11">
        <f t="shared" si="9"/>
        <v>22.48</v>
      </c>
      <c r="T8" s="14"/>
      <c r="U8" s="11">
        <f t="shared" si="10"/>
        <v>0</v>
      </c>
      <c r="V8" s="14">
        <v>5</v>
      </c>
      <c r="W8" s="11">
        <f t="shared" si="11"/>
        <v>14.05</v>
      </c>
      <c r="X8" s="26">
        <f t="shared" si="12"/>
        <v>64</v>
      </c>
      <c r="Y8" s="11">
        <f t="shared" si="13"/>
        <v>179.84</v>
      </c>
      <c r="Z8" s="42">
        <f t="shared" si="14"/>
        <v>12.8</v>
      </c>
      <c r="AA8" s="49">
        <f t="shared" si="15"/>
        <v>35.968000000000004</v>
      </c>
    </row>
    <row r="9" spans="1:27">
      <c r="A9" s="11">
        <v>5</v>
      </c>
      <c r="B9" s="12" t="s">
        <v>17</v>
      </c>
      <c r="C9" s="13">
        <v>3.46</v>
      </c>
      <c r="D9" s="14">
        <v>18</v>
      </c>
      <c r="E9" s="11">
        <f t="shared" si="0"/>
        <v>62.28</v>
      </c>
      <c r="F9" s="14">
        <v>5</v>
      </c>
      <c r="G9" s="11">
        <f t="shared" si="1"/>
        <v>17.3</v>
      </c>
      <c r="H9" s="45">
        <f t="shared" si="2"/>
        <v>23</v>
      </c>
      <c r="I9" s="48">
        <f t="shared" si="3"/>
        <v>79.58</v>
      </c>
      <c r="J9" s="14">
        <v>20</v>
      </c>
      <c r="K9" s="11">
        <f t="shared" si="4"/>
        <v>69.2</v>
      </c>
      <c r="L9" s="14">
        <v>40</v>
      </c>
      <c r="M9" s="11">
        <f t="shared" si="5"/>
        <v>138.4</v>
      </c>
      <c r="N9" s="45">
        <f t="shared" si="6"/>
        <v>60</v>
      </c>
      <c r="O9" s="48">
        <f t="shared" si="7"/>
        <v>207.6</v>
      </c>
      <c r="P9" s="14">
        <v>38</v>
      </c>
      <c r="Q9" s="11">
        <f t="shared" si="8"/>
        <v>131.47999999999999</v>
      </c>
      <c r="R9" s="14">
        <v>43</v>
      </c>
      <c r="S9" s="11">
        <f t="shared" si="9"/>
        <v>148.78</v>
      </c>
      <c r="T9" s="14"/>
      <c r="U9" s="11">
        <f t="shared" si="10"/>
        <v>0</v>
      </c>
      <c r="V9" s="14">
        <v>82</v>
      </c>
      <c r="W9" s="11">
        <f t="shared" si="11"/>
        <v>283.71999999999997</v>
      </c>
      <c r="X9" s="26">
        <f t="shared" si="12"/>
        <v>246</v>
      </c>
      <c r="Y9" s="11">
        <f t="shared" si="13"/>
        <v>851.16</v>
      </c>
      <c r="Z9" s="42">
        <f t="shared" si="14"/>
        <v>49.2</v>
      </c>
      <c r="AA9" s="49">
        <f t="shared" si="15"/>
        <v>170.232</v>
      </c>
    </row>
    <row r="10" spans="1:27">
      <c r="A10" s="11">
        <v>6</v>
      </c>
      <c r="B10" s="12" t="s">
        <v>18</v>
      </c>
      <c r="C10" s="13">
        <v>1.06</v>
      </c>
      <c r="D10" s="14">
        <v>86</v>
      </c>
      <c r="E10" s="11">
        <f t="shared" si="0"/>
        <v>91.160000000000011</v>
      </c>
      <c r="F10" s="14">
        <v>8</v>
      </c>
      <c r="G10" s="11">
        <f t="shared" si="1"/>
        <v>8.48</v>
      </c>
      <c r="H10" s="45">
        <f t="shared" si="2"/>
        <v>94</v>
      </c>
      <c r="I10" s="48">
        <f t="shared" si="3"/>
        <v>99.64</v>
      </c>
      <c r="J10" s="14">
        <v>6</v>
      </c>
      <c r="K10" s="11">
        <f t="shared" si="4"/>
        <v>6.36</v>
      </c>
      <c r="L10" s="14">
        <v>42</v>
      </c>
      <c r="M10" s="11">
        <f t="shared" si="5"/>
        <v>44.52</v>
      </c>
      <c r="N10" s="45">
        <f t="shared" si="6"/>
        <v>48</v>
      </c>
      <c r="O10" s="48">
        <f t="shared" si="7"/>
        <v>50.88</v>
      </c>
      <c r="P10" s="14">
        <v>60</v>
      </c>
      <c r="Q10" s="11">
        <f t="shared" si="8"/>
        <v>63.6</v>
      </c>
      <c r="R10" s="14">
        <v>66</v>
      </c>
      <c r="S10" s="11">
        <f t="shared" si="9"/>
        <v>69.960000000000008</v>
      </c>
      <c r="T10" s="14"/>
      <c r="U10" s="11">
        <f t="shared" si="10"/>
        <v>0</v>
      </c>
      <c r="V10" s="14">
        <v>13</v>
      </c>
      <c r="W10" s="11">
        <f t="shared" si="11"/>
        <v>13.780000000000001</v>
      </c>
      <c r="X10" s="26">
        <f t="shared" si="12"/>
        <v>281</v>
      </c>
      <c r="Y10" s="11">
        <f t="shared" si="13"/>
        <v>297.86</v>
      </c>
      <c r="Z10" s="42">
        <f t="shared" si="14"/>
        <v>56.2</v>
      </c>
      <c r="AA10" s="49">
        <f t="shared" si="15"/>
        <v>59.572000000000003</v>
      </c>
    </row>
    <row r="11" spans="1:27">
      <c r="A11" s="11">
        <v>7</v>
      </c>
      <c r="B11" s="12" t="s">
        <v>19</v>
      </c>
      <c r="C11" s="13">
        <v>3.63</v>
      </c>
      <c r="D11" s="14">
        <v>8</v>
      </c>
      <c r="E11" s="11">
        <f t="shared" si="0"/>
        <v>29.04</v>
      </c>
      <c r="F11" s="14">
        <v>1</v>
      </c>
      <c r="G11" s="11">
        <f t="shared" si="1"/>
        <v>3.63</v>
      </c>
      <c r="H11" s="45">
        <f t="shared" si="2"/>
        <v>9</v>
      </c>
      <c r="I11" s="48">
        <f t="shared" si="3"/>
        <v>32.67</v>
      </c>
      <c r="J11" s="14">
        <v>0</v>
      </c>
      <c r="K11" s="11">
        <f t="shared" si="4"/>
        <v>0</v>
      </c>
      <c r="L11" s="14">
        <v>0</v>
      </c>
      <c r="M11" s="11">
        <f t="shared" si="5"/>
        <v>0</v>
      </c>
      <c r="N11" s="45">
        <f t="shared" si="6"/>
        <v>0</v>
      </c>
      <c r="O11" s="48">
        <f t="shared" si="7"/>
        <v>0</v>
      </c>
      <c r="P11" s="14">
        <v>4</v>
      </c>
      <c r="Q11" s="11">
        <f t="shared" si="8"/>
        <v>14.52</v>
      </c>
      <c r="R11" s="14">
        <v>5</v>
      </c>
      <c r="S11" s="11">
        <f t="shared" si="9"/>
        <v>18.149999999999999</v>
      </c>
      <c r="T11" s="14"/>
      <c r="U11" s="11">
        <f t="shared" si="10"/>
        <v>0</v>
      </c>
      <c r="V11" s="14">
        <v>0</v>
      </c>
      <c r="W11" s="11">
        <f t="shared" si="11"/>
        <v>0</v>
      </c>
      <c r="X11" s="26">
        <f t="shared" si="12"/>
        <v>18</v>
      </c>
      <c r="Y11" s="11">
        <f t="shared" si="13"/>
        <v>65.34</v>
      </c>
      <c r="Z11" s="42">
        <f t="shared" si="14"/>
        <v>3.6</v>
      </c>
      <c r="AA11" s="49">
        <f t="shared" si="15"/>
        <v>13.068</v>
      </c>
    </row>
    <row r="12" spans="1:27">
      <c r="A12" s="11">
        <v>8</v>
      </c>
      <c r="B12" s="12" t="s">
        <v>20</v>
      </c>
      <c r="C12" s="13">
        <v>0.85</v>
      </c>
      <c r="D12" s="14">
        <v>4</v>
      </c>
      <c r="E12" s="11">
        <f t="shared" si="0"/>
        <v>3.4</v>
      </c>
      <c r="F12" s="14">
        <v>8</v>
      </c>
      <c r="G12" s="11">
        <f t="shared" si="1"/>
        <v>6.8</v>
      </c>
      <c r="H12" s="45">
        <f t="shared" si="2"/>
        <v>12</v>
      </c>
      <c r="I12" s="48">
        <f t="shared" si="3"/>
        <v>10.199999999999999</v>
      </c>
      <c r="J12" s="14">
        <v>47</v>
      </c>
      <c r="K12" s="11">
        <f t="shared" si="4"/>
        <v>39.949999999999996</v>
      </c>
      <c r="L12" s="14">
        <v>0</v>
      </c>
      <c r="M12" s="11">
        <f t="shared" si="5"/>
        <v>0</v>
      </c>
      <c r="N12" s="45">
        <f t="shared" si="6"/>
        <v>47</v>
      </c>
      <c r="O12" s="48">
        <f t="shared" si="7"/>
        <v>39.949999999999996</v>
      </c>
      <c r="P12" s="14">
        <v>45</v>
      </c>
      <c r="Q12" s="11">
        <f t="shared" si="8"/>
        <v>38.25</v>
      </c>
      <c r="R12" s="14">
        <v>7</v>
      </c>
      <c r="S12" s="11">
        <f t="shared" si="9"/>
        <v>5.95</v>
      </c>
      <c r="T12" s="14"/>
      <c r="U12" s="11">
        <f t="shared" si="10"/>
        <v>0</v>
      </c>
      <c r="V12" s="14">
        <v>9</v>
      </c>
      <c r="W12" s="11">
        <f t="shared" si="11"/>
        <v>7.6499999999999995</v>
      </c>
      <c r="X12" s="26">
        <f t="shared" si="12"/>
        <v>120</v>
      </c>
      <c r="Y12" s="11">
        <f t="shared" si="13"/>
        <v>102</v>
      </c>
      <c r="Z12" s="42">
        <f t="shared" si="14"/>
        <v>24</v>
      </c>
      <c r="AA12" s="49">
        <f t="shared" si="15"/>
        <v>20.399999999999999</v>
      </c>
    </row>
    <row r="13" spans="1:27" ht="15" customHeight="1">
      <c r="A13" s="11">
        <v>9</v>
      </c>
      <c r="B13" s="12" t="s">
        <v>21</v>
      </c>
      <c r="C13" s="13">
        <v>1.98</v>
      </c>
      <c r="D13" s="14">
        <v>57</v>
      </c>
      <c r="E13" s="11">
        <f t="shared" si="0"/>
        <v>112.86</v>
      </c>
      <c r="F13" s="14">
        <v>33</v>
      </c>
      <c r="G13" s="11">
        <f t="shared" si="1"/>
        <v>65.34</v>
      </c>
      <c r="H13" s="45">
        <f t="shared" si="2"/>
        <v>90</v>
      </c>
      <c r="I13" s="48">
        <f t="shared" si="3"/>
        <v>178.2</v>
      </c>
      <c r="J13" s="14">
        <v>16</v>
      </c>
      <c r="K13" s="11">
        <f t="shared" si="4"/>
        <v>31.68</v>
      </c>
      <c r="L13" s="14">
        <v>51</v>
      </c>
      <c r="M13" s="11">
        <f t="shared" si="5"/>
        <v>100.98</v>
      </c>
      <c r="N13" s="45">
        <f t="shared" si="6"/>
        <v>67</v>
      </c>
      <c r="O13" s="48">
        <f t="shared" si="7"/>
        <v>132.66</v>
      </c>
      <c r="P13" s="14">
        <v>118</v>
      </c>
      <c r="Q13" s="11">
        <f t="shared" si="8"/>
        <v>233.64</v>
      </c>
      <c r="R13" s="14">
        <v>128</v>
      </c>
      <c r="S13" s="11">
        <f t="shared" si="9"/>
        <v>253.44</v>
      </c>
      <c r="T13" s="14"/>
      <c r="U13" s="11">
        <f t="shared" si="10"/>
        <v>0</v>
      </c>
      <c r="V13" s="14">
        <v>121</v>
      </c>
      <c r="W13" s="11">
        <f t="shared" si="11"/>
        <v>239.57999999999998</v>
      </c>
      <c r="X13" s="26">
        <f t="shared" si="12"/>
        <v>524</v>
      </c>
      <c r="Y13" s="11">
        <f t="shared" si="13"/>
        <v>1037.52</v>
      </c>
      <c r="Z13" s="42">
        <f t="shared" si="14"/>
        <v>104.8</v>
      </c>
      <c r="AA13" s="49">
        <f t="shared" si="15"/>
        <v>207.50399999999999</v>
      </c>
    </row>
    <row r="14" spans="1:27">
      <c r="A14" s="11">
        <v>10</v>
      </c>
      <c r="B14" s="15" t="s">
        <v>22</v>
      </c>
      <c r="C14" s="13">
        <v>1.98</v>
      </c>
      <c r="D14" s="14">
        <v>6</v>
      </c>
      <c r="E14" s="11">
        <f t="shared" si="0"/>
        <v>11.879999999999999</v>
      </c>
      <c r="F14" s="14">
        <v>2</v>
      </c>
      <c r="G14" s="11">
        <f t="shared" si="1"/>
        <v>3.96</v>
      </c>
      <c r="H14" s="45">
        <f t="shared" si="2"/>
        <v>8</v>
      </c>
      <c r="I14" s="48">
        <f t="shared" si="3"/>
        <v>15.84</v>
      </c>
      <c r="J14" s="14">
        <v>9</v>
      </c>
      <c r="K14" s="11">
        <f t="shared" si="4"/>
        <v>17.82</v>
      </c>
      <c r="L14" s="14">
        <v>14</v>
      </c>
      <c r="M14" s="11">
        <f t="shared" si="5"/>
        <v>27.72</v>
      </c>
      <c r="N14" s="45">
        <f t="shared" si="6"/>
        <v>23</v>
      </c>
      <c r="O14" s="48">
        <f t="shared" si="7"/>
        <v>45.54</v>
      </c>
      <c r="P14" s="14">
        <v>24</v>
      </c>
      <c r="Q14" s="11">
        <f t="shared" si="8"/>
        <v>47.519999999999996</v>
      </c>
      <c r="R14" s="14">
        <v>38</v>
      </c>
      <c r="S14" s="11">
        <f t="shared" si="9"/>
        <v>75.239999999999995</v>
      </c>
      <c r="T14" s="14"/>
      <c r="U14" s="11">
        <f t="shared" si="10"/>
        <v>0</v>
      </c>
      <c r="V14" s="14">
        <v>21</v>
      </c>
      <c r="W14" s="11">
        <f t="shared" si="11"/>
        <v>41.58</v>
      </c>
      <c r="X14" s="26">
        <f t="shared" si="12"/>
        <v>114</v>
      </c>
      <c r="Y14" s="11">
        <f t="shared" si="13"/>
        <v>225.72</v>
      </c>
      <c r="Z14" s="42">
        <f t="shared" si="14"/>
        <v>22.8</v>
      </c>
      <c r="AA14" s="49">
        <f t="shared" si="15"/>
        <v>45.143999999999998</v>
      </c>
    </row>
    <row r="15" spans="1:27" ht="13.5" customHeight="1">
      <c r="A15" s="11">
        <v>11</v>
      </c>
      <c r="B15" s="12" t="s">
        <v>23</v>
      </c>
      <c r="C15" s="13">
        <v>4.6900000000000004</v>
      </c>
      <c r="D15" s="14">
        <v>17</v>
      </c>
      <c r="E15" s="11">
        <f t="shared" si="0"/>
        <v>79.73</v>
      </c>
      <c r="F15" s="14">
        <v>14</v>
      </c>
      <c r="G15" s="11">
        <f t="shared" si="1"/>
        <v>65.660000000000011</v>
      </c>
      <c r="H15" s="45">
        <f t="shared" si="2"/>
        <v>31</v>
      </c>
      <c r="I15" s="48">
        <f t="shared" si="3"/>
        <v>145.39000000000001</v>
      </c>
      <c r="J15" s="14">
        <v>4</v>
      </c>
      <c r="K15" s="11">
        <f t="shared" si="4"/>
        <v>18.760000000000002</v>
      </c>
      <c r="L15" s="14">
        <v>39</v>
      </c>
      <c r="M15" s="11">
        <f t="shared" si="5"/>
        <v>182.91000000000003</v>
      </c>
      <c r="N15" s="45">
        <f t="shared" si="6"/>
        <v>43</v>
      </c>
      <c r="O15" s="48">
        <f t="shared" si="7"/>
        <v>201.67000000000002</v>
      </c>
      <c r="P15" s="14">
        <v>82</v>
      </c>
      <c r="Q15" s="11">
        <f t="shared" si="8"/>
        <v>384.58000000000004</v>
      </c>
      <c r="R15" s="14">
        <v>142</v>
      </c>
      <c r="S15" s="11">
        <f t="shared" si="9"/>
        <v>665.98</v>
      </c>
      <c r="T15" s="14"/>
      <c r="U15" s="11">
        <f t="shared" si="10"/>
        <v>0</v>
      </c>
      <c r="V15" s="14">
        <v>16</v>
      </c>
      <c r="W15" s="11">
        <f t="shared" si="11"/>
        <v>75.040000000000006</v>
      </c>
      <c r="X15" s="26">
        <f t="shared" si="12"/>
        <v>314</v>
      </c>
      <c r="Y15" s="11">
        <f t="shared" si="13"/>
        <v>1472.66</v>
      </c>
      <c r="Z15" s="42">
        <f t="shared" si="14"/>
        <v>62.8</v>
      </c>
      <c r="AA15" s="49">
        <f t="shared" si="15"/>
        <v>294.53200000000004</v>
      </c>
    </row>
    <row r="16" spans="1:27">
      <c r="A16" s="11">
        <v>12</v>
      </c>
      <c r="B16" s="12" t="s">
        <v>24</v>
      </c>
      <c r="C16" s="13">
        <v>2.9</v>
      </c>
      <c r="D16" s="14">
        <v>27</v>
      </c>
      <c r="E16" s="11">
        <f t="shared" si="0"/>
        <v>78.3</v>
      </c>
      <c r="F16" s="14">
        <v>10</v>
      </c>
      <c r="G16" s="11">
        <f t="shared" si="1"/>
        <v>29</v>
      </c>
      <c r="H16" s="45">
        <f t="shared" si="2"/>
        <v>37</v>
      </c>
      <c r="I16" s="48">
        <f t="shared" si="3"/>
        <v>107.3</v>
      </c>
      <c r="J16" s="14">
        <v>5</v>
      </c>
      <c r="K16" s="11">
        <f t="shared" si="4"/>
        <v>14.5</v>
      </c>
      <c r="L16" s="14">
        <v>47</v>
      </c>
      <c r="M16" s="11">
        <f t="shared" si="5"/>
        <v>136.29999999999998</v>
      </c>
      <c r="N16" s="45">
        <f t="shared" si="6"/>
        <v>52</v>
      </c>
      <c r="O16" s="48">
        <f t="shared" si="7"/>
        <v>150.79999999999998</v>
      </c>
      <c r="P16" s="14">
        <v>36</v>
      </c>
      <c r="Q16" s="11">
        <f t="shared" si="8"/>
        <v>104.39999999999999</v>
      </c>
      <c r="R16" s="14">
        <v>36</v>
      </c>
      <c r="S16" s="11">
        <f t="shared" si="9"/>
        <v>104.39999999999999</v>
      </c>
      <c r="T16" s="14"/>
      <c r="U16" s="11">
        <f t="shared" si="10"/>
        <v>0</v>
      </c>
      <c r="V16" s="14">
        <v>10</v>
      </c>
      <c r="W16" s="11">
        <f t="shared" si="11"/>
        <v>29</v>
      </c>
      <c r="X16" s="26">
        <f t="shared" si="12"/>
        <v>171</v>
      </c>
      <c r="Y16" s="11">
        <f t="shared" si="13"/>
        <v>495.9</v>
      </c>
      <c r="Z16" s="42">
        <f t="shared" si="14"/>
        <v>34.200000000000003</v>
      </c>
      <c r="AA16" s="49">
        <f t="shared" si="15"/>
        <v>99.18</v>
      </c>
    </row>
    <row r="17" spans="1:27">
      <c r="A17" s="11">
        <v>13</v>
      </c>
      <c r="B17" s="12" t="s">
        <v>25</v>
      </c>
      <c r="C17" s="13">
        <v>1.5</v>
      </c>
      <c r="D17" s="14">
        <v>138</v>
      </c>
      <c r="E17" s="11">
        <f t="shared" si="0"/>
        <v>207</v>
      </c>
      <c r="F17" s="14">
        <v>0</v>
      </c>
      <c r="G17" s="11">
        <f t="shared" si="1"/>
        <v>0</v>
      </c>
      <c r="H17" s="45">
        <f t="shared" si="2"/>
        <v>138</v>
      </c>
      <c r="I17" s="48">
        <f t="shared" si="3"/>
        <v>207</v>
      </c>
      <c r="J17" s="14">
        <v>24</v>
      </c>
      <c r="K17" s="11">
        <f t="shared" si="4"/>
        <v>36</v>
      </c>
      <c r="L17" s="14">
        <v>122</v>
      </c>
      <c r="M17" s="11">
        <f t="shared" si="5"/>
        <v>183</v>
      </c>
      <c r="N17" s="45">
        <f t="shared" si="6"/>
        <v>146</v>
      </c>
      <c r="O17" s="48">
        <f t="shared" si="7"/>
        <v>219</v>
      </c>
      <c r="P17" s="14">
        <v>0</v>
      </c>
      <c r="Q17" s="11">
        <f t="shared" si="8"/>
        <v>0</v>
      </c>
      <c r="R17" s="14">
        <v>39</v>
      </c>
      <c r="S17" s="11">
        <f t="shared" si="9"/>
        <v>58.5</v>
      </c>
      <c r="T17" s="14"/>
      <c r="U17" s="11">
        <f t="shared" si="10"/>
        <v>0</v>
      </c>
      <c r="V17" s="14">
        <v>146</v>
      </c>
      <c r="W17" s="11">
        <f t="shared" si="11"/>
        <v>219</v>
      </c>
      <c r="X17" s="26">
        <f t="shared" si="12"/>
        <v>469</v>
      </c>
      <c r="Y17" s="11">
        <f t="shared" si="13"/>
        <v>703.5</v>
      </c>
      <c r="Z17" s="42">
        <f t="shared" si="14"/>
        <v>93.8</v>
      </c>
      <c r="AA17" s="49">
        <f t="shared" si="15"/>
        <v>140.69999999999999</v>
      </c>
    </row>
    <row r="18" spans="1:27">
      <c r="A18" s="16"/>
      <c r="B18" s="17" t="s">
        <v>6</v>
      </c>
      <c r="C18" s="17"/>
      <c r="D18" s="17"/>
      <c r="E18" s="17">
        <f>SUM(E5:E17)</f>
        <v>2316.7400000000002</v>
      </c>
      <c r="F18" s="17"/>
      <c r="G18" s="17">
        <f>SUM(G5:G17)</f>
        <v>607.68000000000006</v>
      </c>
      <c r="H18" s="17"/>
      <c r="I18" s="17">
        <f>SUM(I5:I17)</f>
        <v>2924.4199999999996</v>
      </c>
      <c r="J18" s="17"/>
      <c r="K18" s="17">
        <f>SUM(K5:K17)</f>
        <v>1211.2099999999998</v>
      </c>
      <c r="L18" s="17"/>
      <c r="M18" s="17">
        <f>SUM(M5:M17)</f>
        <v>1727.91</v>
      </c>
      <c r="N18" s="17"/>
      <c r="O18" s="17">
        <f>SUM(O5:O17)</f>
        <v>2939.12</v>
      </c>
      <c r="P18" s="17"/>
      <c r="Q18" s="17">
        <f>SUM(Q5:Q17)</f>
        <v>2892.37</v>
      </c>
      <c r="R18" s="17"/>
      <c r="S18" s="17">
        <f>SUM(S5:S17)</f>
        <v>3319.3300000000004</v>
      </c>
      <c r="T18" s="17"/>
      <c r="U18" s="17">
        <f>SUM(U5:U17)</f>
        <v>0</v>
      </c>
      <c r="V18" s="17"/>
      <c r="W18" s="17">
        <f>SUM(W5:W17)</f>
        <v>7058.57</v>
      </c>
      <c r="X18" s="17"/>
      <c r="Y18" s="17">
        <f>I18+O18+Q18+S18+W18</f>
        <v>19133.809999999998</v>
      </c>
      <c r="Z18" s="17"/>
      <c r="AA18" s="17">
        <f>SUM(AA5:AA17)</f>
        <v>3826.7619999999997</v>
      </c>
    </row>
    <row r="19" spans="1:2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/>
      <c r="B20" s="3"/>
      <c r="C20" s="3"/>
      <c r="D20" s="46"/>
      <c r="E20" s="3"/>
      <c r="F20" s="46"/>
      <c r="G20" s="3"/>
      <c r="H20" s="3"/>
      <c r="I20" s="3"/>
      <c r="J20" s="46"/>
      <c r="K20" s="3"/>
      <c r="L20" s="46"/>
      <c r="M20" s="3"/>
      <c r="N20" s="3"/>
      <c r="O20" s="3"/>
      <c r="P20" s="46"/>
      <c r="Q20" s="3"/>
      <c r="R20" s="46"/>
      <c r="S20" s="3"/>
      <c r="T20" s="3"/>
      <c r="U20" s="3"/>
      <c r="V20" s="46"/>
      <c r="W20" s="3"/>
      <c r="X20" s="3"/>
      <c r="Y20" s="3"/>
      <c r="Z20" s="3"/>
      <c r="AA20" s="3"/>
    </row>
    <row r="21" spans="1:27">
      <c r="A21" s="3"/>
      <c r="B21" s="3"/>
      <c r="C21" s="3"/>
      <c r="D21" s="46"/>
      <c r="F21" s="46"/>
      <c r="G21" s="3"/>
      <c r="H21" s="3"/>
      <c r="I21" s="3"/>
      <c r="J21" s="46"/>
      <c r="K21" s="3"/>
      <c r="L21" s="46"/>
      <c r="M21" s="3"/>
      <c r="N21" s="3"/>
      <c r="O21" s="3"/>
      <c r="P21" s="46"/>
      <c r="Q21" s="3"/>
      <c r="R21" s="46"/>
      <c r="S21" s="3"/>
      <c r="T21" s="3"/>
      <c r="U21" s="3"/>
      <c r="V21" s="46"/>
      <c r="W21" s="3"/>
      <c r="X21" s="3"/>
      <c r="Y21" s="3"/>
      <c r="Z21" s="3"/>
      <c r="AA21" s="3"/>
    </row>
    <row r="22" spans="1:27">
      <c r="A22" s="3"/>
      <c r="B22" s="3"/>
      <c r="C22" s="3"/>
      <c r="D22" s="46"/>
      <c r="E22" s="3"/>
      <c r="F22" s="46"/>
      <c r="G22" s="3"/>
      <c r="H22" s="3"/>
      <c r="I22" s="3"/>
      <c r="J22" s="46"/>
      <c r="K22" s="3"/>
      <c r="L22" s="46"/>
      <c r="M22" s="3"/>
      <c r="N22" s="3"/>
      <c r="O22" s="3"/>
      <c r="P22" s="46"/>
      <c r="Q22" s="3"/>
      <c r="R22" s="46"/>
      <c r="S22" s="3"/>
      <c r="T22" s="3"/>
      <c r="U22" s="3"/>
      <c r="V22" s="46"/>
      <c r="W22" s="3"/>
      <c r="X22" s="3"/>
      <c r="Y22" s="3"/>
      <c r="Z22" s="3"/>
      <c r="AA22" s="3"/>
    </row>
    <row r="23" spans="1:27">
      <c r="A23" s="3"/>
      <c r="B23" s="3"/>
      <c r="C23" s="3"/>
      <c r="D23" s="46"/>
      <c r="E23" s="3"/>
      <c r="F23" s="46"/>
      <c r="G23" s="3"/>
      <c r="H23" s="3"/>
      <c r="I23" s="3"/>
      <c r="J23" s="46"/>
      <c r="K23" s="3"/>
      <c r="L23" s="46"/>
      <c r="M23" s="3"/>
      <c r="N23" s="3"/>
      <c r="O23" s="3"/>
      <c r="P23" s="46"/>
      <c r="Q23" s="3"/>
      <c r="R23" s="46"/>
      <c r="S23" s="3"/>
      <c r="T23" s="3"/>
      <c r="U23" s="3"/>
      <c r="V23" s="46"/>
      <c r="W23" s="3"/>
      <c r="X23" s="3"/>
      <c r="Y23" s="3"/>
      <c r="Z23" s="3"/>
      <c r="AA23" s="3"/>
    </row>
    <row r="24" spans="1:27">
      <c r="D24" s="46"/>
      <c r="F24" s="46"/>
      <c r="J24" s="46"/>
      <c r="L24" s="46"/>
      <c r="P24" s="46"/>
      <c r="R24" s="46"/>
      <c r="V24" s="46"/>
    </row>
    <row r="25" spans="1:27">
      <c r="D25" s="46"/>
      <c r="F25" s="46"/>
      <c r="J25" s="46"/>
      <c r="L25" s="46"/>
      <c r="P25" s="46"/>
      <c r="R25" s="46"/>
      <c r="V25" s="46"/>
    </row>
    <row r="26" spans="1:27">
      <c r="D26" s="46"/>
      <c r="F26" s="46"/>
      <c r="J26" s="46"/>
      <c r="L26" s="46"/>
      <c r="P26" s="46"/>
      <c r="R26" s="46"/>
      <c r="V26" s="46"/>
    </row>
    <row r="27" spans="1:27">
      <c r="D27" s="46"/>
      <c r="F27" s="46"/>
      <c r="J27" s="46"/>
      <c r="L27" s="46"/>
      <c r="P27" s="46"/>
      <c r="R27" s="46"/>
      <c r="V27" s="46"/>
    </row>
    <row r="28" spans="1:27">
      <c r="D28" s="46"/>
      <c r="F28" s="46"/>
      <c r="J28" s="46"/>
      <c r="L28" s="46"/>
      <c r="P28" s="46"/>
      <c r="R28" s="46"/>
      <c r="V28" s="46"/>
    </row>
    <row r="29" spans="1:27">
      <c r="D29" s="46"/>
      <c r="F29" s="46"/>
      <c r="J29" s="46"/>
      <c r="L29" s="46"/>
      <c r="P29" s="46"/>
      <c r="R29" s="46"/>
      <c r="V29" s="46"/>
    </row>
    <row r="30" spans="1:27">
      <c r="D30" s="46"/>
      <c r="F30" s="46"/>
      <c r="J30" s="46"/>
      <c r="L30" s="46"/>
      <c r="P30" s="46"/>
      <c r="R30" s="46"/>
      <c r="V30" s="46"/>
    </row>
    <row r="31" spans="1:27">
      <c r="D31" s="46"/>
      <c r="F31" s="46"/>
      <c r="J31" s="46"/>
      <c r="L31" s="46"/>
      <c r="P31" s="46"/>
      <c r="R31" s="46"/>
      <c r="V31" s="46"/>
    </row>
    <row r="32" spans="1:27">
      <c r="D32" s="46"/>
      <c r="F32" s="46"/>
      <c r="J32" s="46"/>
      <c r="L32" s="46"/>
      <c r="P32" s="46"/>
      <c r="R32" s="46"/>
      <c r="V32" s="46"/>
    </row>
    <row r="33" spans="4:22">
      <c r="D33" s="46"/>
      <c r="F33" s="46"/>
      <c r="J33" s="46"/>
      <c r="L33" s="46"/>
      <c r="P33" s="46"/>
      <c r="R33" s="46"/>
      <c r="V33" s="46"/>
    </row>
    <row r="34" spans="4:22">
      <c r="D34" s="46"/>
      <c r="F34" s="46"/>
    </row>
  </sheetData>
  <mergeCells count="12">
    <mergeCell ref="D3:E3"/>
    <mergeCell ref="F3:G3"/>
    <mergeCell ref="H3:I3"/>
    <mergeCell ref="J3:K3"/>
    <mergeCell ref="L3:M3"/>
    <mergeCell ref="X3:Y3"/>
    <mergeCell ref="Z3:AA3"/>
    <mergeCell ref="N3:O3"/>
    <mergeCell ref="P3:Q3"/>
    <mergeCell ref="R3:S3"/>
    <mergeCell ref="T3:U3"/>
    <mergeCell ref="V3:W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opLeftCell="B1" zoomScale="81" zoomScaleNormal="81" workbookViewId="0">
      <selection activeCell="T17" sqref="T17"/>
    </sheetView>
  </sheetViews>
  <sheetFormatPr baseColWidth="10" defaultColWidth="14.453125" defaultRowHeight="14.5"/>
  <cols>
    <col min="1" max="1" width="4.54296875" style="22" customWidth="1"/>
    <col min="2" max="2" width="22.54296875" style="22" customWidth="1"/>
    <col min="3" max="3" width="10.1796875" style="22" customWidth="1"/>
    <col min="4" max="22" width="9.54296875" style="22" customWidth="1"/>
    <col min="23" max="23" width="8.7265625" style="22" customWidth="1"/>
    <col min="24" max="16384" width="14.453125" style="22"/>
  </cols>
  <sheetData>
    <row r="1" spans="1:23" ht="15" thickBo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" thickBot="1">
      <c r="A2" s="1" t="s">
        <v>0</v>
      </c>
      <c r="B2" s="2">
        <v>45962</v>
      </c>
      <c r="C2" s="3"/>
      <c r="D2" s="82" t="s">
        <v>36</v>
      </c>
      <c r="E2" s="82"/>
      <c r="F2" s="82"/>
      <c r="G2" s="82"/>
      <c r="H2" s="90" t="s">
        <v>38</v>
      </c>
      <c r="I2" s="91"/>
      <c r="J2" s="91"/>
      <c r="K2" s="92"/>
      <c r="L2" s="87" t="s">
        <v>57</v>
      </c>
      <c r="M2" s="88"/>
      <c r="N2" s="88"/>
      <c r="O2" s="89"/>
      <c r="P2" s="3"/>
      <c r="Q2" s="3"/>
      <c r="R2" s="93" t="s">
        <v>37</v>
      </c>
      <c r="S2" s="94"/>
      <c r="T2" s="3"/>
      <c r="U2" s="3"/>
      <c r="V2" s="3"/>
      <c r="W2" s="3"/>
    </row>
    <row r="3" spans="1:23" ht="15" customHeight="1">
      <c r="A3" s="4"/>
      <c r="B3" s="5"/>
      <c r="C3" s="6"/>
      <c r="D3" s="83" t="s">
        <v>27</v>
      </c>
      <c r="E3" s="84"/>
      <c r="F3" s="85" t="s">
        <v>28</v>
      </c>
      <c r="G3" s="86"/>
      <c r="H3" s="71" t="s">
        <v>29</v>
      </c>
      <c r="I3" s="72"/>
      <c r="J3" s="71" t="s">
        <v>30</v>
      </c>
      <c r="K3" s="72"/>
      <c r="L3" s="71" t="s">
        <v>31</v>
      </c>
      <c r="M3" s="72"/>
      <c r="N3" s="71" t="s">
        <v>32</v>
      </c>
      <c r="O3" s="72"/>
      <c r="P3" s="75" t="s">
        <v>33</v>
      </c>
      <c r="Q3" s="76"/>
      <c r="R3" s="71" t="s">
        <v>34</v>
      </c>
      <c r="S3" s="77"/>
      <c r="T3" s="71" t="s">
        <v>6</v>
      </c>
      <c r="U3" s="72"/>
      <c r="V3" s="3"/>
    </row>
    <row r="4" spans="1:23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3"/>
    </row>
    <row r="5" spans="1:23">
      <c r="A5" s="11">
        <v>1</v>
      </c>
      <c r="B5" s="12" t="s">
        <v>13</v>
      </c>
      <c r="C5" s="13">
        <v>0.99</v>
      </c>
      <c r="D5" s="14">
        <v>65</v>
      </c>
      <c r="E5" s="11">
        <f>D5*C5</f>
        <v>64.349999999999994</v>
      </c>
      <c r="F5" s="11"/>
      <c r="G5" s="11">
        <f t="shared" ref="G5:G19" si="0">F5*A5</f>
        <v>0</v>
      </c>
      <c r="H5" s="11">
        <v>142</v>
      </c>
      <c r="I5" s="11">
        <f>H5*C5</f>
        <v>140.58000000000001</v>
      </c>
      <c r="J5" s="11"/>
      <c r="K5" s="11">
        <f>J5*C5</f>
        <v>0</v>
      </c>
      <c r="L5" s="26">
        <v>337</v>
      </c>
      <c r="M5" s="26">
        <f>L5*C5</f>
        <v>333.63</v>
      </c>
      <c r="N5" s="26">
        <v>700</v>
      </c>
      <c r="O5" s="26">
        <f>N5* C5</f>
        <v>693</v>
      </c>
      <c r="P5" s="11"/>
      <c r="Q5" s="11">
        <f t="shared" ref="Q5:Q19" si="1">P5*C5</f>
        <v>0</v>
      </c>
      <c r="R5" s="11">
        <v>3000</v>
      </c>
      <c r="S5" s="11">
        <f>R5*C5</f>
        <v>2970</v>
      </c>
      <c r="T5" s="26">
        <f>D5+F5+H5+J5+L5+N5+P5+R5</f>
        <v>4244</v>
      </c>
      <c r="U5" s="11">
        <f>T5*C5</f>
        <v>4201.5600000000004</v>
      </c>
      <c r="V5" s="3"/>
    </row>
    <row r="6" spans="1:23">
      <c r="A6" s="11">
        <v>2</v>
      </c>
      <c r="B6" s="12" t="s">
        <v>14</v>
      </c>
      <c r="C6" s="13">
        <v>2.29</v>
      </c>
      <c r="D6" s="14">
        <v>2</v>
      </c>
      <c r="E6" s="11">
        <f t="shared" ref="E6:E19" si="2">D6*C6</f>
        <v>4.58</v>
      </c>
      <c r="F6" s="11"/>
      <c r="G6" s="11">
        <f t="shared" si="0"/>
        <v>0</v>
      </c>
      <c r="H6" s="11">
        <v>5</v>
      </c>
      <c r="I6" s="11">
        <f t="shared" ref="I6:I19" si="3">H6*C6</f>
        <v>11.45</v>
      </c>
      <c r="J6" s="11"/>
      <c r="K6" s="11">
        <f t="shared" ref="K6:K19" si="4">J6*C6</f>
        <v>0</v>
      </c>
      <c r="L6" s="26">
        <v>0</v>
      </c>
      <c r="M6" s="26">
        <f>L6*C6</f>
        <v>0</v>
      </c>
      <c r="N6" s="26">
        <v>1</v>
      </c>
      <c r="O6" s="26">
        <f>N6*C6</f>
        <v>2.29</v>
      </c>
      <c r="P6" s="11"/>
      <c r="Q6" s="11">
        <f t="shared" si="1"/>
        <v>0</v>
      </c>
      <c r="R6" s="11">
        <v>0</v>
      </c>
      <c r="S6" s="11">
        <f t="shared" ref="S6:S19" si="5">R6*C6</f>
        <v>0</v>
      </c>
      <c r="T6" s="26">
        <f t="shared" ref="T6:T20" si="6">D6+F6+H6+J6+L6+N6+P6+R6</f>
        <v>8</v>
      </c>
      <c r="U6" s="11">
        <f t="shared" ref="U6:U20" si="7">T6*C6</f>
        <v>18.32</v>
      </c>
      <c r="V6" s="3"/>
    </row>
    <row r="7" spans="1:23">
      <c r="A7" s="11">
        <v>3</v>
      </c>
      <c r="B7" s="12" t="s">
        <v>15</v>
      </c>
      <c r="C7" s="13">
        <v>3.66</v>
      </c>
      <c r="D7" s="14">
        <v>54</v>
      </c>
      <c r="E7" s="11">
        <f t="shared" si="2"/>
        <v>197.64000000000001</v>
      </c>
      <c r="F7" s="11"/>
      <c r="G7" s="11">
        <f t="shared" si="0"/>
        <v>0</v>
      </c>
      <c r="H7" s="11">
        <v>88</v>
      </c>
      <c r="I7" s="11">
        <f t="shared" si="3"/>
        <v>322.08000000000004</v>
      </c>
      <c r="J7" s="11"/>
      <c r="K7" s="11">
        <f t="shared" si="4"/>
        <v>0</v>
      </c>
      <c r="L7" s="26">
        <v>120</v>
      </c>
      <c r="M7" s="26">
        <f t="shared" ref="M7:M18" si="8">L7*C7</f>
        <v>439.20000000000005</v>
      </c>
      <c r="N7" s="26">
        <v>126</v>
      </c>
      <c r="O7" s="26">
        <f t="shared" ref="O7:O19" si="9">N7*C7</f>
        <v>461.16</v>
      </c>
      <c r="P7" s="11"/>
      <c r="Q7" s="11">
        <f t="shared" si="1"/>
        <v>0</v>
      </c>
      <c r="R7" s="11">
        <v>100</v>
      </c>
      <c r="S7" s="11">
        <f t="shared" si="5"/>
        <v>366</v>
      </c>
      <c r="T7" s="26">
        <f t="shared" si="6"/>
        <v>488</v>
      </c>
      <c r="U7" s="11">
        <f t="shared" si="7"/>
        <v>1786.0800000000002</v>
      </c>
      <c r="V7" s="3"/>
    </row>
    <row r="8" spans="1:23">
      <c r="A8" s="11">
        <v>4</v>
      </c>
      <c r="B8" s="12" t="s">
        <v>16</v>
      </c>
      <c r="C8" s="13">
        <v>2.81</v>
      </c>
      <c r="D8" s="14">
        <v>20</v>
      </c>
      <c r="E8" s="11">
        <f t="shared" si="2"/>
        <v>56.2</v>
      </c>
      <c r="F8" s="11"/>
      <c r="G8" s="11">
        <f t="shared" si="0"/>
        <v>0</v>
      </c>
      <c r="H8" s="11">
        <v>22</v>
      </c>
      <c r="I8" s="11">
        <f t="shared" si="3"/>
        <v>61.82</v>
      </c>
      <c r="J8" s="11"/>
      <c r="K8" s="11">
        <f t="shared" si="4"/>
        <v>0</v>
      </c>
      <c r="L8" s="26">
        <v>15</v>
      </c>
      <c r="M8" s="26">
        <f t="shared" si="8"/>
        <v>42.15</v>
      </c>
      <c r="N8" s="26">
        <v>16</v>
      </c>
      <c r="O8" s="26">
        <f t="shared" si="9"/>
        <v>44.96</v>
      </c>
      <c r="P8" s="11"/>
      <c r="Q8" s="11">
        <f t="shared" si="1"/>
        <v>0</v>
      </c>
      <c r="R8" s="11">
        <v>20</v>
      </c>
      <c r="S8" s="11">
        <f t="shared" si="5"/>
        <v>56.2</v>
      </c>
      <c r="T8" s="26">
        <f t="shared" si="6"/>
        <v>93</v>
      </c>
      <c r="U8" s="11">
        <f t="shared" si="7"/>
        <v>261.33</v>
      </c>
      <c r="V8" s="3"/>
    </row>
    <row r="9" spans="1:23">
      <c r="A9" s="11">
        <v>5</v>
      </c>
      <c r="B9" s="12" t="s">
        <v>17</v>
      </c>
      <c r="C9" s="13">
        <v>3.46</v>
      </c>
      <c r="D9" s="14">
        <v>16</v>
      </c>
      <c r="E9" s="11">
        <f t="shared" si="2"/>
        <v>55.36</v>
      </c>
      <c r="F9" s="11"/>
      <c r="G9" s="11">
        <f t="shared" si="0"/>
        <v>0</v>
      </c>
      <c r="H9" s="11">
        <v>25</v>
      </c>
      <c r="I9" s="11">
        <f t="shared" si="3"/>
        <v>86.5</v>
      </c>
      <c r="J9" s="11"/>
      <c r="K9" s="11">
        <f t="shared" si="4"/>
        <v>0</v>
      </c>
      <c r="L9" s="26">
        <v>27</v>
      </c>
      <c r="M9" s="26">
        <f t="shared" si="8"/>
        <v>93.42</v>
      </c>
      <c r="N9" s="26">
        <v>27</v>
      </c>
      <c r="O9" s="26">
        <f t="shared" si="9"/>
        <v>93.42</v>
      </c>
      <c r="P9" s="11"/>
      <c r="Q9" s="11">
        <f t="shared" si="1"/>
        <v>0</v>
      </c>
      <c r="R9" s="11">
        <v>30</v>
      </c>
      <c r="S9" s="11">
        <f t="shared" si="5"/>
        <v>103.8</v>
      </c>
      <c r="T9" s="26">
        <f t="shared" si="6"/>
        <v>125</v>
      </c>
      <c r="U9" s="11">
        <f t="shared" si="7"/>
        <v>432.5</v>
      </c>
      <c r="V9" s="3"/>
    </row>
    <row r="10" spans="1:23">
      <c r="A10" s="11">
        <v>6</v>
      </c>
      <c r="B10" s="12" t="s">
        <v>18</v>
      </c>
      <c r="C10" s="13">
        <v>1.06</v>
      </c>
      <c r="D10" s="14">
        <v>0</v>
      </c>
      <c r="E10" s="11">
        <f t="shared" si="2"/>
        <v>0</v>
      </c>
      <c r="F10" s="11"/>
      <c r="G10" s="11">
        <f t="shared" si="0"/>
        <v>0</v>
      </c>
      <c r="H10" s="11">
        <v>0</v>
      </c>
      <c r="I10" s="11">
        <f t="shared" si="3"/>
        <v>0</v>
      </c>
      <c r="J10" s="11"/>
      <c r="K10" s="11">
        <f t="shared" si="4"/>
        <v>0</v>
      </c>
      <c r="L10" s="26">
        <v>0</v>
      </c>
      <c r="M10" s="26">
        <f t="shared" si="8"/>
        <v>0</v>
      </c>
      <c r="N10" s="26">
        <v>0</v>
      </c>
      <c r="O10" s="26">
        <f t="shared" si="9"/>
        <v>0</v>
      </c>
      <c r="P10" s="11"/>
      <c r="Q10" s="11">
        <f t="shared" si="1"/>
        <v>0</v>
      </c>
      <c r="R10" s="11">
        <v>0</v>
      </c>
      <c r="S10" s="11">
        <f t="shared" si="5"/>
        <v>0</v>
      </c>
      <c r="T10" s="26">
        <f t="shared" si="6"/>
        <v>0</v>
      </c>
      <c r="U10" s="11">
        <f t="shared" si="7"/>
        <v>0</v>
      </c>
      <c r="V10" s="3"/>
    </row>
    <row r="11" spans="1:23">
      <c r="A11" s="11">
        <v>7</v>
      </c>
      <c r="B11" s="12" t="s">
        <v>19</v>
      </c>
      <c r="C11" s="13">
        <v>3.63</v>
      </c>
      <c r="D11" s="14">
        <v>0</v>
      </c>
      <c r="E11" s="11">
        <f t="shared" si="2"/>
        <v>0</v>
      </c>
      <c r="F11" s="11"/>
      <c r="G11" s="11">
        <f t="shared" si="0"/>
        <v>0</v>
      </c>
      <c r="H11" s="11">
        <v>0</v>
      </c>
      <c r="I11" s="11">
        <f t="shared" si="3"/>
        <v>0</v>
      </c>
      <c r="J11" s="11"/>
      <c r="K11" s="11">
        <f t="shared" si="4"/>
        <v>0</v>
      </c>
      <c r="L11" s="26">
        <v>0</v>
      </c>
      <c r="M11" s="26">
        <f t="shared" si="8"/>
        <v>0</v>
      </c>
      <c r="N11" s="26">
        <v>0</v>
      </c>
      <c r="O11" s="26">
        <f t="shared" si="9"/>
        <v>0</v>
      </c>
      <c r="P11" s="11"/>
      <c r="Q11" s="11">
        <f t="shared" si="1"/>
        <v>0</v>
      </c>
      <c r="R11" s="11">
        <v>0</v>
      </c>
      <c r="S11" s="11">
        <f t="shared" si="5"/>
        <v>0</v>
      </c>
      <c r="T11" s="26">
        <f t="shared" si="6"/>
        <v>0</v>
      </c>
      <c r="U11" s="11">
        <f t="shared" si="7"/>
        <v>0</v>
      </c>
      <c r="V11" s="3"/>
    </row>
    <row r="12" spans="1:23">
      <c r="A12" s="11">
        <v>8</v>
      </c>
      <c r="B12" s="12" t="s">
        <v>20</v>
      </c>
      <c r="C12" s="13">
        <v>0.85</v>
      </c>
      <c r="D12" s="14">
        <v>9</v>
      </c>
      <c r="E12" s="11">
        <f t="shared" si="2"/>
        <v>7.6499999999999995</v>
      </c>
      <c r="F12" s="11"/>
      <c r="G12" s="11">
        <f t="shared" si="0"/>
        <v>0</v>
      </c>
      <c r="H12" s="11">
        <v>55</v>
      </c>
      <c r="I12" s="11">
        <f t="shared" si="3"/>
        <v>46.75</v>
      </c>
      <c r="J12" s="11"/>
      <c r="K12" s="11">
        <f t="shared" si="4"/>
        <v>0</v>
      </c>
      <c r="L12" s="26">
        <v>22</v>
      </c>
      <c r="M12" s="26">
        <f t="shared" si="8"/>
        <v>18.7</v>
      </c>
      <c r="N12" s="26">
        <v>100</v>
      </c>
      <c r="O12" s="26">
        <f>N12*C12</f>
        <v>85</v>
      </c>
      <c r="P12" s="11"/>
      <c r="Q12" s="11">
        <f t="shared" si="1"/>
        <v>0</v>
      </c>
      <c r="R12" s="11">
        <v>35</v>
      </c>
      <c r="S12" s="11">
        <f t="shared" si="5"/>
        <v>29.75</v>
      </c>
      <c r="T12" s="26">
        <f>D12+F12+H12+J12+L12+N12+P12+R12</f>
        <v>221</v>
      </c>
      <c r="U12" s="11">
        <f t="shared" si="7"/>
        <v>187.85</v>
      </c>
      <c r="V12" s="3"/>
    </row>
    <row r="13" spans="1:23" ht="15" customHeight="1">
      <c r="A13" s="11">
        <v>9</v>
      </c>
      <c r="B13" s="12" t="s">
        <v>21</v>
      </c>
      <c r="C13" s="13">
        <v>1.98</v>
      </c>
      <c r="D13" s="14">
        <v>53</v>
      </c>
      <c r="E13" s="11">
        <f t="shared" si="2"/>
        <v>104.94</v>
      </c>
      <c r="F13" s="11"/>
      <c r="G13" s="11">
        <f t="shared" si="0"/>
        <v>0</v>
      </c>
      <c r="H13" s="11">
        <v>161</v>
      </c>
      <c r="I13" s="11">
        <f t="shared" si="3"/>
        <v>318.77999999999997</v>
      </c>
      <c r="J13" s="11"/>
      <c r="K13" s="11">
        <f t="shared" si="4"/>
        <v>0</v>
      </c>
      <c r="L13" s="26">
        <v>83</v>
      </c>
      <c r="M13" s="26">
        <f t="shared" si="8"/>
        <v>164.34</v>
      </c>
      <c r="N13" s="26">
        <v>83</v>
      </c>
      <c r="O13" s="26">
        <f>N13*C13</f>
        <v>164.34</v>
      </c>
      <c r="P13" s="11"/>
      <c r="Q13" s="11">
        <f t="shared" si="1"/>
        <v>0</v>
      </c>
      <c r="R13" s="11">
        <v>236</v>
      </c>
      <c r="S13" s="11">
        <f t="shared" si="5"/>
        <v>467.28</v>
      </c>
      <c r="T13" s="26">
        <f t="shared" si="6"/>
        <v>616</v>
      </c>
      <c r="U13" s="11">
        <f t="shared" si="7"/>
        <v>1219.68</v>
      </c>
      <c r="V13" s="3"/>
    </row>
    <row r="14" spans="1:23">
      <c r="A14" s="11">
        <v>10</v>
      </c>
      <c r="B14" s="15" t="s">
        <v>22</v>
      </c>
      <c r="C14" s="13">
        <v>1.98</v>
      </c>
      <c r="D14" s="14">
        <v>6</v>
      </c>
      <c r="E14" s="11">
        <f t="shared" si="2"/>
        <v>11.879999999999999</v>
      </c>
      <c r="F14" s="11"/>
      <c r="G14" s="11">
        <f t="shared" si="0"/>
        <v>0</v>
      </c>
      <c r="H14" s="11">
        <v>32</v>
      </c>
      <c r="I14" s="11">
        <f t="shared" si="3"/>
        <v>63.36</v>
      </c>
      <c r="J14" s="11"/>
      <c r="K14" s="11">
        <f t="shared" si="4"/>
        <v>0</v>
      </c>
      <c r="L14" s="26">
        <v>33</v>
      </c>
      <c r="M14" s="26">
        <f t="shared" si="8"/>
        <v>65.34</v>
      </c>
      <c r="N14" s="26">
        <v>70</v>
      </c>
      <c r="O14" s="26">
        <f>N14*C14</f>
        <v>138.6</v>
      </c>
      <c r="P14" s="11"/>
      <c r="Q14" s="11">
        <f t="shared" si="1"/>
        <v>0</v>
      </c>
      <c r="R14" s="11">
        <v>52</v>
      </c>
      <c r="S14" s="11">
        <f t="shared" si="5"/>
        <v>102.96</v>
      </c>
      <c r="T14" s="26">
        <f t="shared" si="6"/>
        <v>193</v>
      </c>
      <c r="U14" s="11">
        <f t="shared" si="7"/>
        <v>382.14</v>
      </c>
      <c r="V14" s="3"/>
    </row>
    <row r="15" spans="1:23" ht="13.5" customHeight="1">
      <c r="A15" s="11">
        <v>11</v>
      </c>
      <c r="B15" s="12" t="s">
        <v>23</v>
      </c>
      <c r="C15" s="13">
        <v>4.6900000000000004</v>
      </c>
      <c r="D15" s="14">
        <v>0</v>
      </c>
      <c r="E15" s="11">
        <f t="shared" si="2"/>
        <v>0</v>
      </c>
      <c r="F15" s="11"/>
      <c r="G15" s="11">
        <f t="shared" si="0"/>
        <v>0</v>
      </c>
      <c r="H15" s="11">
        <v>0</v>
      </c>
      <c r="I15" s="11">
        <f t="shared" si="3"/>
        <v>0</v>
      </c>
      <c r="J15" s="11"/>
      <c r="K15" s="11">
        <f t="shared" si="4"/>
        <v>0</v>
      </c>
      <c r="L15" s="26">
        <v>0</v>
      </c>
      <c r="M15" s="26">
        <f t="shared" si="8"/>
        <v>0</v>
      </c>
      <c r="N15" s="26">
        <v>0</v>
      </c>
      <c r="O15" s="26">
        <f t="shared" si="9"/>
        <v>0</v>
      </c>
      <c r="P15" s="32"/>
      <c r="Q15" s="11">
        <f t="shared" si="1"/>
        <v>0</v>
      </c>
      <c r="R15" s="32">
        <v>0</v>
      </c>
      <c r="S15" s="11">
        <f t="shared" si="5"/>
        <v>0</v>
      </c>
      <c r="T15" s="26">
        <f t="shared" si="6"/>
        <v>0</v>
      </c>
      <c r="U15" s="11">
        <f t="shared" si="7"/>
        <v>0</v>
      </c>
      <c r="V15" s="3"/>
    </row>
    <row r="16" spans="1:23">
      <c r="A16" s="11">
        <v>12</v>
      </c>
      <c r="B16" s="12" t="s">
        <v>24</v>
      </c>
      <c r="C16" s="13">
        <v>2.9</v>
      </c>
      <c r="D16" s="14">
        <v>0</v>
      </c>
      <c r="E16" s="11">
        <f t="shared" si="2"/>
        <v>0</v>
      </c>
      <c r="F16" s="11"/>
      <c r="G16" s="11">
        <f t="shared" si="0"/>
        <v>0</v>
      </c>
      <c r="H16" s="11">
        <v>0</v>
      </c>
      <c r="I16" s="11">
        <f t="shared" si="3"/>
        <v>0</v>
      </c>
      <c r="J16" s="11"/>
      <c r="K16" s="11">
        <f t="shared" si="4"/>
        <v>0</v>
      </c>
      <c r="L16" s="26">
        <v>0</v>
      </c>
      <c r="M16" s="26">
        <f t="shared" si="8"/>
        <v>0</v>
      </c>
      <c r="N16" s="26">
        <v>0</v>
      </c>
      <c r="O16" s="26">
        <f t="shared" si="9"/>
        <v>0</v>
      </c>
      <c r="P16" s="32"/>
      <c r="Q16" s="11">
        <f t="shared" si="1"/>
        <v>0</v>
      </c>
      <c r="R16" s="32">
        <v>0</v>
      </c>
      <c r="S16" s="11">
        <f t="shared" si="5"/>
        <v>0</v>
      </c>
      <c r="T16" s="26">
        <f t="shared" si="6"/>
        <v>0</v>
      </c>
      <c r="U16" s="11">
        <f t="shared" si="7"/>
        <v>0</v>
      </c>
      <c r="V16" s="3"/>
    </row>
    <row r="17" spans="1:23">
      <c r="A17" s="11">
        <v>13</v>
      </c>
      <c r="B17" s="12" t="s">
        <v>55</v>
      </c>
      <c r="C17" s="13">
        <v>1.9</v>
      </c>
      <c r="D17" s="14">
        <v>30</v>
      </c>
      <c r="E17" s="11">
        <f>D17*C17</f>
        <v>57</v>
      </c>
      <c r="F17" s="14"/>
      <c r="G17" s="11">
        <f>F17*C17</f>
        <v>0</v>
      </c>
      <c r="H17" s="14">
        <v>40</v>
      </c>
      <c r="I17" s="11">
        <f t="shared" si="3"/>
        <v>76</v>
      </c>
      <c r="J17" s="14"/>
      <c r="K17" s="11">
        <f t="shared" si="4"/>
        <v>0</v>
      </c>
      <c r="L17" s="14">
        <v>40</v>
      </c>
      <c r="M17" s="26">
        <f t="shared" si="8"/>
        <v>76</v>
      </c>
      <c r="N17" s="14">
        <v>60</v>
      </c>
      <c r="O17" s="11">
        <f t="shared" si="9"/>
        <v>114</v>
      </c>
      <c r="P17" s="32"/>
      <c r="Q17" s="11">
        <f t="shared" si="1"/>
        <v>0</v>
      </c>
      <c r="R17" s="32">
        <v>40</v>
      </c>
      <c r="S17" s="11">
        <f t="shared" si="5"/>
        <v>76</v>
      </c>
      <c r="T17" s="26">
        <f>D17+F17+H17+J17+L17+N17+P17+R17</f>
        <v>210</v>
      </c>
      <c r="U17" s="11">
        <f>T17*C17</f>
        <v>399</v>
      </c>
      <c r="V17" s="3"/>
    </row>
    <row r="18" spans="1:23">
      <c r="A18" s="11">
        <v>14</v>
      </c>
      <c r="B18" s="12" t="s">
        <v>56</v>
      </c>
      <c r="C18" s="13">
        <v>2.4</v>
      </c>
      <c r="D18" s="14">
        <v>0</v>
      </c>
      <c r="E18" s="11">
        <f>D18*C18</f>
        <v>0</v>
      </c>
      <c r="F18" s="14"/>
      <c r="G18" s="11">
        <f>F18*C18</f>
        <v>0</v>
      </c>
      <c r="H18" s="14">
        <v>0</v>
      </c>
      <c r="I18" s="11">
        <f t="shared" si="3"/>
        <v>0</v>
      </c>
      <c r="J18" s="14"/>
      <c r="K18" s="11">
        <f t="shared" si="4"/>
        <v>0</v>
      </c>
      <c r="L18" s="14">
        <v>0</v>
      </c>
      <c r="M18" s="26">
        <f t="shared" si="8"/>
        <v>0</v>
      </c>
      <c r="N18" s="14">
        <v>0</v>
      </c>
      <c r="O18" s="11">
        <f t="shared" si="9"/>
        <v>0</v>
      </c>
      <c r="P18" s="32"/>
      <c r="Q18" s="11">
        <f t="shared" si="1"/>
        <v>0</v>
      </c>
      <c r="R18" s="32">
        <v>0</v>
      </c>
      <c r="S18" s="11">
        <f t="shared" si="5"/>
        <v>0</v>
      </c>
      <c r="T18" s="26">
        <f>D18+F18+H18+J18+L18+N18+P18+R18</f>
        <v>0</v>
      </c>
      <c r="U18" s="11">
        <f>T18*C18</f>
        <v>0</v>
      </c>
      <c r="V18" s="3"/>
    </row>
    <row r="19" spans="1:23">
      <c r="A19" s="11">
        <v>15</v>
      </c>
      <c r="B19" s="12" t="s">
        <v>25</v>
      </c>
      <c r="C19" s="13">
        <v>1.5</v>
      </c>
      <c r="D19" s="31">
        <v>0</v>
      </c>
      <c r="E19" s="11">
        <f t="shared" si="2"/>
        <v>0</v>
      </c>
      <c r="F19" s="32"/>
      <c r="G19" s="11">
        <f t="shared" si="0"/>
        <v>0</v>
      </c>
      <c r="H19" s="32">
        <v>0</v>
      </c>
      <c r="I19" s="11">
        <f t="shared" si="3"/>
        <v>0</v>
      </c>
      <c r="J19" s="32"/>
      <c r="K19" s="11">
        <f t="shared" si="4"/>
        <v>0</v>
      </c>
      <c r="L19" s="38">
        <v>0</v>
      </c>
      <c r="M19" s="26">
        <f>L19*C19</f>
        <v>0</v>
      </c>
      <c r="N19" s="26">
        <v>0</v>
      </c>
      <c r="O19" s="26">
        <f t="shared" si="9"/>
        <v>0</v>
      </c>
      <c r="P19" s="32"/>
      <c r="Q19" s="11">
        <f t="shared" si="1"/>
        <v>0</v>
      </c>
      <c r="R19" s="32">
        <v>0</v>
      </c>
      <c r="S19" s="11">
        <f t="shared" si="5"/>
        <v>0</v>
      </c>
      <c r="T19" s="26">
        <f t="shared" si="6"/>
        <v>0</v>
      </c>
      <c r="U19" s="11">
        <f t="shared" si="7"/>
        <v>0</v>
      </c>
      <c r="V19" s="3"/>
    </row>
    <row r="20" spans="1:23">
      <c r="A20" s="11">
        <v>16</v>
      </c>
      <c r="B20" s="12" t="s">
        <v>58</v>
      </c>
      <c r="C20" s="13">
        <v>5.38</v>
      </c>
      <c r="D20" s="14">
        <v>18</v>
      </c>
      <c r="E20" s="11">
        <f>D20*C20</f>
        <v>96.84</v>
      </c>
      <c r="F20" s="14"/>
      <c r="G20" s="11">
        <f>F20*C20</f>
        <v>0</v>
      </c>
      <c r="H20" s="14">
        <v>9</v>
      </c>
      <c r="I20" s="11">
        <f>H20*C20</f>
        <v>48.42</v>
      </c>
      <c r="J20" s="14"/>
      <c r="K20" s="11">
        <f>J20*C20</f>
        <v>0</v>
      </c>
      <c r="L20" s="14">
        <v>42</v>
      </c>
      <c r="M20" s="26">
        <f>L20*C20</f>
        <v>225.96</v>
      </c>
      <c r="N20" s="14">
        <v>43</v>
      </c>
      <c r="O20" s="11">
        <f>N20*C20</f>
        <v>231.34</v>
      </c>
      <c r="P20" s="32"/>
      <c r="Q20" s="11">
        <f>P20*C20</f>
        <v>0</v>
      </c>
      <c r="R20" s="32">
        <v>16</v>
      </c>
      <c r="S20" s="11">
        <f>R20*C20</f>
        <v>86.08</v>
      </c>
      <c r="T20" s="26">
        <f t="shared" si="6"/>
        <v>128</v>
      </c>
      <c r="U20" s="11">
        <f t="shared" si="7"/>
        <v>688.64</v>
      </c>
      <c r="V20" s="3"/>
    </row>
    <row r="21" spans="1:23" ht="15" thickBot="1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/>
      <c r="G21" s="11">
        <v>0</v>
      </c>
      <c r="H21" s="32">
        <v>0</v>
      </c>
      <c r="I21" s="11">
        <f>H21*C21</f>
        <v>0</v>
      </c>
      <c r="J21" s="32"/>
      <c r="K21" s="11">
        <f>J21*C21</f>
        <v>0</v>
      </c>
      <c r="L21" s="38">
        <v>0</v>
      </c>
      <c r="M21" s="26">
        <f>L21*C21</f>
        <v>0</v>
      </c>
      <c r="N21" s="26">
        <v>0</v>
      </c>
      <c r="O21" s="26">
        <f>N21*C21</f>
        <v>0</v>
      </c>
      <c r="P21" s="32"/>
      <c r="Q21" s="11">
        <f>P21*C21</f>
        <v>0</v>
      </c>
      <c r="R21" s="32">
        <v>0</v>
      </c>
      <c r="S21" s="11">
        <f>R21*C21</f>
        <v>0</v>
      </c>
      <c r="T21" s="26">
        <f>D21+F21+H21+J21+L21+N21+P21+R21</f>
        <v>0</v>
      </c>
      <c r="U21" s="11">
        <f>T21*C21</f>
        <v>0</v>
      </c>
      <c r="V21" s="3"/>
    </row>
    <row r="22" spans="1:23" ht="15" thickBot="1">
      <c r="A22" s="16"/>
      <c r="B22" s="17" t="s">
        <v>6</v>
      </c>
      <c r="C22" s="17"/>
      <c r="D22" s="17"/>
      <c r="E22" s="27">
        <f>SUM(E5:E21)</f>
        <v>656.43999999999994</v>
      </c>
      <c r="F22" s="17"/>
      <c r="G22" s="17">
        <f>SUM(G5:G19)</f>
        <v>0</v>
      </c>
      <c r="H22" s="17"/>
      <c r="I22" s="27">
        <f>SUM(I5:I21)</f>
        <v>1175.74</v>
      </c>
      <c r="J22" s="17"/>
      <c r="K22" s="17">
        <f>SUM(K5:K19)</f>
        <v>0</v>
      </c>
      <c r="L22" s="17"/>
      <c r="M22" s="27">
        <f>SUM(M5:M21)</f>
        <v>1458.74</v>
      </c>
      <c r="N22" s="17"/>
      <c r="O22" s="27">
        <f>SUM(O5:O21)</f>
        <v>2028.11</v>
      </c>
      <c r="P22" s="17"/>
      <c r="Q22" s="17">
        <f>SUM(Q5:Q19)</f>
        <v>0</v>
      </c>
      <c r="R22" s="17"/>
      <c r="S22" s="27">
        <f>SUM(S5:S21)</f>
        <v>4258.07</v>
      </c>
      <c r="T22" s="17"/>
      <c r="U22" s="27">
        <f>SUM(U5:U21)</f>
        <v>9577.1</v>
      </c>
      <c r="V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</sheetData>
  <mergeCells count="13">
    <mergeCell ref="T3:U3"/>
    <mergeCell ref="D2:G2"/>
    <mergeCell ref="D3:E3"/>
    <mergeCell ref="F3:G3"/>
    <mergeCell ref="H3:I3"/>
    <mergeCell ref="J3:K3"/>
    <mergeCell ref="L2:O2"/>
    <mergeCell ref="H2:K2"/>
    <mergeCell ref="R2:S2"/>
    <mergeCell ref="L3:M3"/>
    <mergeCell ref="N3:O3"/>
    <mergeCell ref="P3:Q3"/>
    <mergeCell ref="R3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opLeftCell="A2" zoomScale="84" zoomScaleNormal="84" workbookViewId="0">
      <pane xSplit="3" topLeftCell="H1" activePane="topRight" state="frozen"/>
      <selection pane="topRight" activeCell="A20" sqref="A20:XFD20"/>
    </sheetView>
  </sheetViews>
  <sheetFormatPr baseColWidth="10" defaultColWidth="14.453125" defaultRowHeight="14.5"/>
  <cols>
    <col min="1" max="1" width="4.54296875" style="22" customWidth="1"/>
    <col min="2" max="2" width="23.453125" style="22" customWidth="1"/>
    <col min="3" max="3" width="10.1796875" style="22" customWidth="1"/>
    <col min="4" max="22" width="9.54296875" style="22" customWidth="1"/>
    <col min="23" max="23" width="8.7265625" style="22" customWidth="1"/>
    <col min="24" max="16384" width="14.453125" style="22"/>
  </cols>
  <sheetData>
    <row r="1" spans="1:2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1" t="s">
        <v>0</v>
      </c>
      <c r="B2" s="2">
        <v>45962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>
      <c r="A3" s="4"/>
      <c r="B3" s="5"/>
      <c r="C3" s="6"/>
      <c r="D3" s="73" t="s">
        <v>27</v>
      </c>
      <c r="E3" s="74"/>
      <c r="F3" s="71" t="s">
        <v>28</v>
      </c>
      <c r="G3" s="72"/>
      <c r="H3" s="71" t="s">
        <v>29</v>
      </c>
      <c r="I3" s="72"/>
      <c r="J3" s="71" t="s">
        <v>30</v>
      </c>
      <c r="K3" s="72"/>
      <c r="L3" s="71" t="s">
        <v>31</v>
      </c>
      <c r="M3" s="72"/>
      <c r="N3" s="71" t="s">
        <v>32</v>
      </c>
      <c r="O3" s="72"/>
      <c r="P3" s="75" t="s">
        <v>33</v>
      </c>
      <c r="Q3" s="76"/>
      <c r="R3" s="71" t="s">
        <v>34</v>
      </c>
      <c r="S3" s="77"/>
      <c r="T3" s="71" t="s">
        <v>6</v>
      </c>
      <c r="U3" s="72"/>
      <c r="V3" s="3"/>
    </row>
    <row r="4" spans="1:23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3"/>
    </row>
    <row r="5" spans="1:23">
      <c r="A5" s="11">
        <v>1</v>
      </c>
      <c r="B5" s="12" t="s">
        <v>13</v>
      </c>
      <c r="C5" s="13">
        <v>0.99</v>
      </c>
      <c r="D5" s="14">
        <v>89</v>
      </c>
      <c r="E5" s="11">
        <f t="shared" ref="E5:E19" si="0">D5*C5</f>
        <v>88.11</v>
      </c>
      <c r="F5" s="14">
        <v>114</v>
      </c>
      <c r="G5" s="11">
        <f>F5*A5</f>
        <v>114</v>
      </c>
      <c r="H5" s="14">
        <v>691</v>
      </c>
      <c r="I5" s="11">
        <f>H5*C5</f>
        <v>684.09</v>
      </c>
      <c r="J5" s="14">
        <v>317</v>
      </c>
      <c r="K5" s="11">
        <f>J5*C5</f>
        <v>313.83</v>
      </c>
      <c r="L5" s="14">
        <v>1296</v>
      </c>
      <c r="M5" s="11">
        <f>L5*C5</f>
        <v>1283.04</v>
      </c>
      <c r="N5" s="14">
        <v>3262</v>
      </c>
      <c r="O5" s="11">
        <f>N5*C5</f>
        <v>3229.38</v>
      </c>
      <c r="P5" s="34"/>
      <c r="Q5" s="11">
        <f t="shared" ref="Q5:Q21" si="1">P5*C5</f>
        <v>0</v>
      </c>
      <c r="R5" s="11">
        <v>1521</v>
      </c>
      <c r="S5" s="11">
        <f>R5*C5</f>
        <v>1505.79</v>
      </c>
      <c r="T5" s="26">
        <f>D5+F5+H5+J5+L5+N5+P5+R5</f>
        <v>7290</v>
      </c>
      <c r="U5" s="11">
        <f t="shared" ref="U5:U21" si="2">T5*C5</f>
        <v>7217.1</v>
      </c>
      <c r="V5" s="3"/>
    </row>
    <row r="6" spans="1:23">
      <c r="A6" s="11">
        <v>2</v>
      </c>
      <c r="B6" s="12" t="s">
        <v>14</v>
      </c>
      <c r="C6" s="13">
        <v>2.29</v>
      </c>
      <c r="D6" s="14">
        <v>86</v>
      </c>
      <c r="E6" s="11">
        <f>D6*C6</f>
        <v>196.94</v>
      </c>
      <c r="F6" s="14">
        <v>70</v>
      </c>
      <c r="G6" s="11">
        <f>F6*A6</f>
        <v>140</v>
      </c>
      <c r="H6" s="14">
        <v>60</v>
      </c>
      <c r="I6" s="11">
        <f>H6*C6</f>
        <v>137.4</v>
      </c>
      <c r="J6" s="14">
        <v>58</v>
      </c>
      <c r="K6" s="11">
        <f t="shared" ref="K6:K21" si="3">J6*C6</f>
        <v>132.82</v>
      </c>
      <c r="L6" s="14">
        <v>83</v>
      </c>
      <c r="M6" s="11">
        <f t="shared" ref="M6:M20" si="4">L6*C6</f>
        <v>190.07</v>
      </c>
      <c r="N6" s="14">
        <v>167</v>
      </c>
      <c r="O6" s="11">
        <f t="shared" ref="O6:O21" si="5">N6*C6</f>
        <v>382.43</v>
      </c>
      <c r="P6" s="34"/>
      <c r="Q6" s="11">
        <f t="shared" si="1"/>
        <v>0</v>
      </c>
      <c r="R6" s="11">
        <v>32</v>
      </c>
      <c r="S6" s="11">
        <f t="shared" ref="S6:S21" si="6">R6*C6</f>
        <v>73.28</v>
      </c>
      <c r="T6" s="26">
        <f t="shared" ref="T6:T21" si="7">D6+F6+H6+J6+L6+N6+P6+R6</f>
        <v>556</v>
      </c>
      <c r="U6" s="11">
        <f t="shared" si="2"/>
        <v>1273.24</v>
      </c>
      <c r="V6" s="3"/>
    </row>
    <row r="7" spans="1:23">
      <c r="A7" s="11">
        <v>3</v>
      </c>
      <c r="B7" s="12" t="s">
        <v>15</v>
      </c>
      <c r="C7" s="13">
        <v>3.66</v>
      </c>
      <c r="D7" s="14">
        <v>19</v>
      </c>
      <c r="E7" s="11">
        <f t="shared" si="0"/>
        <v>69.540000000000006</v>
      </c>
      <c r="F7" s="14">
        <v>8</v>
      </c>
      <c r="G7" s="11">
        <f>F7*C7</f>
        <v>29.28</v>
      </c>
      <c r="H7" s="14">
        <v>0</v>
      </c>
      <c r="I7" s="11">
        <f t="shared" ref="I7:I21" si="8">H7*C7</f>
        <v>0</v>
      </c>
      <c r="J7" s="14">
        <v>8</v>
      </c>
      <c r="K7" s="11">
        <f t="shared" si="3"/>
        <v>29.28</v>
      </c>
      <c r="L7" s="14">
        <v>28</v>
      </c>
      <c r="M7" s="11">
        <f t="shared" si="4"/>
        <v>102.48</v>
      </c>
      <c r="N7" s="14">
        <v>35</v>
      </c>
      <c r="O7" s="11">
        <f t="shared" si="5"/>
        <v>128.1</v>
      </c>
      <c r="P7" s="34"/>
      <c r="Q7" s="11">
        <f t="shared" si="1"/>
        <v>0</v>
      </c>
      <c r="R7" s="11">
        <v>4</v>
      </c>
      <c r="S7" s="11">
        <f t="shared" si="6"/>
        <v>14.64</v>
      </c>
      <c r="T7" s="26">
        <f t="shared" si="7"/>
        <v>102</v>
      </c>
      <c r="U7" s="11">
        <f t="shared" si="2"/>
        <v>373.32</v>
      </c>
      <c r="V7" s="3"/>
    </row>
    <row r="8" spans="1:23">
      <c r="A8" s="11">
        <v>4</v>
      </c>
      <c r="B8" s="12" t="s">
        <v>16</v>
      </c>
      <c r="C8" s="13">
        <v>2.81</v>
      </c>
      <c r="D8" s="14">
        <v>18</v>
      </c>
      <c r="E8" s="11">
        <f t="shared" si="0"/>
        <v>50.58</v>
      </c>
      <c r="F8" s="14">
        <v>21</v>
      </c>
      <c r="G8" s="11">
        <f>F8*C8</f>
        <v>59.01</v>
      </c>
      <c r="H8" s="14">
        <v>19</v>
      </c>
      <c r="I8" s="11">
        <f t="shared" si="8"/>
        <v>53.39</v>
      </c>
      <c r="J8" s="14">
        <v>25</v>
      </c>
      <c r="K8" s="11">
        <f t="shared" si="3"/>
        <v>70.25</v>
      </c>
      <c r="L8" s="14">
        <v>4</v>
      </c>
      <c r="M8" s="11">
        <f t="shared" si="4"/>
        <v>11.24</v>
      </c>
      <c r="N8" s="14">
        <v>9</v>
      </c>
      <c r="O8" s="11">
        <f t="shared" si="5"/>
        <v>25.29</v>
      </c>
      <c r="P8" s="34"/>
      <c r="Q8" s="11">
        <f t="shared" si="1"/>
        <v>0</v>
      </c>
      <c r="R8" s="11">
        <v>12</v>
      </c>
      <c r="S8" s="11">
        <f t="shared" si="6"/>
        <v>33.72</v>
      </c>
      <c r="T8" s="26">
        <f t="shared" si="7"/>
        <v>108</v>
      </c>
      <c r="U8" s="11">
        <f t="shared" si="2"/>
        <v>303.48</v>
      </c>
      <c r="V8" s="3"/>
    </row>
    <row r="9" spans="1:23">
      <c r="A9" s="11">
        <v>5</v>
      </c>
      <c r="B9" s="12" t="s">
        <v>17</v>
      </c>
      <c r="C9" s="13">
        <v>3.46</v>
      </c>
      <c r="D9" s="14">
        <v>27</v>
      </c>
      <c r="E9" s="11">
        <f t="shared" si="0"/>
        <v>93.42</v>
      </c>
      <c r="F9" s="14">
        <v>35</v>
      </c>
      <c r="G9" s="11">
        <f t="shared" ref="G9:G20" si="9">F9*C9</f>
        <v>121.1</v>
      </c>
      <c r="H9" s="14">
        <v>32</v>
      </c>
      <c r="I9" s="11">
        <f t="shared" si="8"/>
        <v>110.72</v>
      </c>
      <c r="J9" s="14">
        <v>36</v>
      </c>
      <c r="K9" s="11">
        <f t="shared" si="3"/>
        <v>124.56</v>
      </c>
      <c r="L9" s="14">
        <v>47</v>
      </c>
      <c r="M9" s="11">
        <f t="shared" si="4"/>
        <v>162.62</v>
      </c>
      <c r="N9" s="14">
        <v>65</v>
      </c>
      <c r="O9" s="11">
        <f t="shared" si="5"/>
        <v>224.9</v>
      </c>
      <c r="P9" s="34"/>
      <c r="Q9" s="11">
        <f t="shared" si="1"/>
        <v>0</v>
      </c>
      <c r="R9" s="11">
        <v>45</v>
      </c>
      <c r="S9" s="11">
        <f t="shared" si="6"/>
        <v>155.69999999999999</v>
      </c>
      <c r="T9" s="26">
        <f t="shared" si="7"/>
        <v>287</v>
      </c>
      <c r="U9" s="11">
        <f t="shared" si="2"/>
        <v>993.02</v>
      </c>
      <c r="V9" s="3"/>
    </row>
    <row r="10" spans="1:23">
      <c r="A10" s="11">
        <v>6</v>
      </c>
      <c r="B10" s="12" t="s">
        <v>18</v>
      </c>
      <c r="C10" s="13">
        <v>1.06</v>
      </c>
      <c r="D10" s="14">
        <v>0</v>
      </c>
      <c r="E10" s="11">
        <f t="shared" si="0"/>
        <v>0</v>
      </c>
      <c r="F10" s="14">
        <v>0</v>
      </c>
      <c r="G10" s="11">
        <f t="shared" si="9"/>
        <v>0</v>
      </c>
      <c r="H10" s="14">
        <v>0</v>
      </c>
      <c r="I10" s="11">
        <f t="shared" si="8"/>
        <v>0</v>
      </c>
      <c r="J10" s="14">
        <v>0</v>
      </c>
      <c r="K10" s="11">
        <f t="shared" si="3"/>
        <v>0</v>
      </c>
      <c r="L10" s="14">
        <v>0</v>
      </c>
      <c r="M10" s="11">
        <f t="shared" si="4"/>
        <v>0</v>
      </c>
      <c r="N10" s="14">
        <v>0</v>
      </c>
      <c r="O10" s="11">
        <f t="shared" si="5"/>
        <v>0</v>
      </c>
      <c r="P10" s="11"/>
      <c r="Q10" s="11">
        <f t="shared" si="1"/>
        <v>0</v>
      </c>
      <c r="R10" s="11">
        <v>0</v>
      </c>
      <c r="S10" s="11">
        <f t="shared" si="6"/>
        <v>0</v>
      </c>
      <c r="T10" s="26">
        <f t="shared" si="7"/>
        <v>0</v>
      </c>
      <c r="U10" s="11">
        <f t="shared" si="2"/>
        <v>0</v>
      </c>
      <c r="V10" s="3"/>
    </row>
    <row r="11" spans="1:23">
      <c r="A11" s="11">
        <v>7</v>
      </c>
      <c r="B11" s="12" t="s">
        <v>19</v>
      </c>
      <c r="C11" s="13">
        <v>3.63</v>
      </c>
      <c r="D11" s="14">
        <v>0</v>
      </c>
      <c r="E11" s="11">
        <f t="shared" si="0"/>
        <v>0</v>
      </c>
      <c r="F11" s="14">
        <v>0</v>
      </c>
      <c r="G11" s="11">
        <f t="shared" si="9"/>
        <v>0</v>
      </c>
      <c r="H11" s="14">
        <v>0</v>
      </c>
      <c r="I11" s="11">
        <f t="shared" si="8"/>
        <v>0</v>
      </c>
      <c r="J11" s="14">
        <v>0</v>
      </c>
      <c r="K11" s="11">
        <f t="shared" si="3"/>
        <v>0</v>
      </c>
      <c r="L11" s="14">
        <v>0</v>
      </c>
      <c r="M11" s="11">
        <f t="shared" si="4"/>
        <v>0</v>
      </c>
      <c r="N11" s="14">
        <v>0</v>
      </c>
      <c r="O11" s="11">
        <f t="shared" si="5"/>
        <v>0</v>
      </c>
      <c r="P11" s="11"/>
      <c r="Q11" s="11">
        <f t="shared" si="1"/>
        <v>0</v>
      </c>
      <c r="R11" s="11">
        <v>0</v>
      </c>
      <c r="S11" s="11">
        <f t="shared" si="6"/>
        <v>0</v>
      </c>
      <c r="T11" s="26">
        <f t="shared" si="7"/>
        <v>0</v>
      </c>
      <c r="U11" s="11">
        <f t="shared" si="2"/>
        <v>0</v>
      </c>
      <c r="V11" s="3"/>
    </row>
    <row r="12" spans="1:23">
      <c r="A12" s="11">
        <v>8</v>
      </c>
      <c r="B12" s="12" t="s">
        <v>20</v>
      </c>
      <c r="C12" s="13">
        <v>0.85</v>
      </c>
      <c r="D12" s="14">
        <v>0</v>
      </c>
      <c r="E12" s="11">
        <f t="shared" si="0"/>
        <v>0</v>
      </c>
      <c r="F12" s="14">
        <v>0</v>
      </c>
      <c r="G12" s="11">
        <f t="shared" si="9"/>
        <v>0</v>
      </c>
      <c r="H12" s="14">
        <v>0</v>
      </c>
      <c r="I12" s="11">
        <f t="shared" si="8"/>
        <v>0</v>
      </c>
      <c r="J12" s="14">
        <v>0</v>
      </c>
      <c r="K12" s="11">
        <f t="shared" si="3"/>
        <v>0</v>
      </c>
      <c r="L12" s="14">
        <v>0</v>
      </c>
      <c r="M12" s="11">
        <f t="shared" si="4"/>
        <v>0</v>
      </c>
      <c r="N12" s="14">
        <v>0</v>
      </c>
      <c r="O12" s="11">
        <f t="shared" si="5"/>
        <v>0</v>
      </c>
      <c r="P12" s="11"/>
      <c r="Q12" s="11">
        <f t="shared" si="1"/>
        <v>0</v>
      </c>
      <c r="R12" s="11">
        <v>0</v>
      </c>
      <c r="S12" s="11">
        <f t="shared" si="6"/>
        <v>0</v>
      </c>
      <c r="T12" s="26">
        <f>D12+F12+H12+J12+L12+N12+P12+R12</f>
        <v>0</v>
      </c>
      <c r="U12" s="11">
        <f t="shared" si="2"/>
        <v>0</v>
      </c>
      <c r="V12" s="3"/>
    </row>
    <row r="13" spans="1:23" ht="15" customHeight="1">
      <c r="A13" s="11">
        <v>9</v>
      </c>
      <c r="B13" s="12" t="s">
        <v>21</v>
      </c>
      <c r="C13" s="13">
        <v>1.98</v>
      </c>
      <c r="D13" s="14">
        <v>55</v>
      </c>
      <c r="E13" s="11">
        <f t="shared" si="0"/>
        <v>108.9</v>
      </c>
      <c r="F13" s="14">
        <v>79</v>
      </c>
      <c r="G13" s="11">
        <f t="shared" si="9"/>
        <v>156.41999999999999</v>
      </c>
      <c r="H13" s="14">
        <v>68</v>
      </c>
      <c r="I13" s="11">
        <f t="shared" si="8"/>
        <v>134.63999999999999</v>
      </c>
      <c r="J13" s="14">
        <v>79</v>
      </c>
      <c r="K13" s="11">
        <f t="shared" si="3"/>
        <v>156.41999999999999</v>
      </c>
      <c r="L13" s="14">
        <v>140</v>
      </c>
      <c r="M13" s="11">
        <f t="shared" si="4"/>
        <v>277.2</v>
      </c>
      <c r="N13" s="14">
        <v>297</v>
      </c>
      <c r="O13" s="11">
        <f t="shared" si="5"/>
        <v>588.05999999999995</v>
      </c>
      <c r="P13" s="11"/>
      <c r="Q13" s="11">
        <f t="shared" si="1"/>
        <v>0</v>
      </c>
      <c r="R13" s="11">
        <v>117</v>
      </c>
      <c r="S13" s="11">
        <f t="shared" si="6"/>
        <v>231.66</v>
      </c>
      <c r="T13" s="26">
        <f t="shared" si="7"/>
        <v>835</v>
      </c>
      <c r="U13" s="11">
        <f t="shared" si="2"/>
        <v>1653.3</v>
      </c>
      <c r="V13" s="3"/>
    </row>
    <row r="14" spans="1:23">
      <c r="A14" s="11">
        <v>10</v>
      </c>
      <c r="B14" s="15" t="s">
        <v>22</v>
      </c>
      <c r="C14" s="13">
        <v>1.98</v>
      </c>
      <c r="D14" s="14">
        <v>11</v>
      </c>
      <c r="E14" s="11">
        <f t="shared" si="0"/>
        <v>21.78</v>
      </c>
      <c r="F14" s="14">
        <v>7</v>
      </c>
      <c r="G14" s="11">
        <f t="shared" si="9"/>
        <v>13.86</v>
      </c>
      <c r="H14" s="14">
        <v>14</v>
      </c>
      <c r="I14" s="11">
        <f t="shared" si="8"/>
        <v>27.72</v>
      </c>
      <c r="J14" s="14">
        <v>8</v>
      </c>
      <c r="K14" s="11">
        <f t="shared" si="3"/>
        <v>15.84</v>
      </c>
      <c r="L14" s="14">
        <v>35</v>
      </c>
      <c r="M14" s="11">
        <f t="shared" si="4"/>
        <v>69.3</v>
      </c>
      <c r="N14" s="14">
        <v>66</v>
      </c>
      <c r="O14" s="11">
        <f t="shared" si="5"/>
        <v>130.68</v>
      </c>
      <c r="P14" s="11"/>
      <c r="Q14" s="11">
        <f t="shared" si="1"/>
        <v>0</v>
      </c>
      <c r="R14" s="11">
        <v>21</v>
      </c>
      <c r="S14" s="11">
        <f t="shared" si="6"/>
        <v>41.58</v>
      </c>
      <c r="T14" s="26">
        <f t="shared" si="7"/>
        <v>162</v>
      </c>
      <c r="U14" s="11">
        <f t="shared" si="2"/>
        <v>320.76</v>
      </c>
      <c r="V14" s="3"/>
    </row>
    <row r="15" spans="1:23" ht="13.5" customHeight="1">
      <c r="A15" s="11">
        <v>11</v>
      </c>
      <c r="B15" s="12" t="s">
        <v>23</v>
      </c>
      <c r="C15" s="13">
        <v>4.6900000000000004</v>
      </c>
      <c r="D15" s="14">
        <v>0</v>
      </c>
      <c r="E15" s="11">
        <f t="shared" si="0"/>
        <v>0</v>
      </c>
      <c r="F15" s="14">
        <v>0</v>
      </c>
      <c r="G15" s="11">
        <f t="shared" si="9"/>
        <v>0</v>
      </c>
      <c r="H15" s="14">
        <v>0</v>
      </c>
      <c r="I15" s="11">
        <f t="shared" si="8"/>
        <v>0</v>
      </c>
      <c r="J15" s="14">
        <v>0</v>
      </c>
      <c r="K15" s="11">
        <f t="shared" si="3"/>
        <v>0</v>
      </c>
      <c r="L15" s="14">
        <v>0</v>
      </c>
      <c r="M15" s="11">
        <f t="shared" si="4"/>
        <v>0</v>
      </c>
      <c r="N15" s="14">
        <v>0</v>
      </c>
      <c r="O15" s="11">
        <f t="shared" si="5"/>
        <v>0</v>
      </c>
      <c r="P15" s="32"/>
      <c r="Q15" s="11">
        <f t="shared" si="1"/>
        <v>0</v>
      </c>
      <c r="R15" s="32">
        <v>0</v>
      </c>
      <c r="S15" s="11">
        <f t="shared" si="6"/>
        <v>0</v>
      </c>
      <c r="T15" s="26">
        <f t="shared" si="7"/>
        <v>0</v>
      </c>
      <c r="U15" s="11">
        <f t="shared" si="2"/>
        <v>0</v>
      </c>
      <c r="V15" s="3"/>
    </row>
    <row r="16" spans="1:23">
      <c r="A16" s="11">
        <v>12</v>
      </c>
      <c r="B16" s="12" t="s">
        <v>24</v>
      </c>
      <c r="C16" s="13">
        <v>2.9</v>
      </c>
      <c r="D16" s="14">
        <v>0</v>
      </c>
      <c r="E16" s="11">
        <f t="shared" si="0"/>
        <v>0</v>
      </c>
      <c r="F16" s="14">
        <v>0</v>
      </c>
      <c r="G16" s="11">
        <f t="shared" si="9"/>
        <v>0</v>
      </c>
      <c r="H16" s="14">
        <v>0</v>
      </c>
      <c r="I16" s="11">
        <f t="shared" si="8"/>
        <v>0</v>
      </c>
      <c r="J16" s="14">
        <v>0</v>
      </c>
      <c r="K16" s="11">
        <f t="shared" si="3"/>
        <v>0</v>
      </c>
      <c r="L16" s="14">
        <v>0</v>
      </c>
      <c r="M16" s="11">
        <f t="shared" si="4"/>
        <v>0</v>
      </c>
      <c r="N16" s="14">
        <v>0</v>
      </c>
      <c r="O16" s="11">
        <f t="shared" si="5"/>
        <v>0</v>
      </c>
      <c r="P16" s="32"/>
      <c r="Q16" s="11">
        <f t="shared" si="1"/>
        <v>0</v>
      </c>
      <c r="R16" s="32">
        <v>0</v>
      </c>
      <c r="S16" s="11">
        <f t="shared" si="6"/>
        <v>0</v>
      </c>
      <c r="T16" s="26">
        <f t="shared" si="7"/>
        <v>0</v>
      </c>
      <c r="U16" s="11">
        <f t="shared" si="2"/>
        <v>0</v>
      </c>
      <c r="V16" s="3"/>
    </row>
    <row r="17" spans="1:23">
      <c r="A17" s="11">
        <v>13</v>
      </c>
      <c r="B17" s="12" t="s">
        <v>55</v>
      </c>
      <c r="C17" s="13">
        <v>1.9</v>
      </c>
      <c r="D17" s="14">
        <v>0</v>
      </c>
      <c r="E17" s="11">
        <f>D17*C17</f>
        <v>0</v>
      </c>
      <c r="F17" s="14">
        <v>0</v>
      </c>
      <c r="G17" s="11">
        <f>F17*C17</f>
        <v>0</v>
      </c>
      <c r="H17" s="14">
        <v>0</v>
      </c>
      <c r="I17" s="11">
        <f>H17*C17</f>
        <v>0</v>
      </c>
      <c r="J17" s="14">
        <v>0</v>
      </c>
      <c r="K17" s="11">
        <f>J17*C17</f>
        <v>0</v>
      </c>
      <c r="L17" s="14">
        <v>0</v>
      </c>
      <c r="M17" s="11">
        <f>L17*C17</f>
        <v>0</v>
      </c>
      <c r="N17" s="14">
        <v>0</v>
      </c>
      <c r="O17" s="11">
        <f>N17*C17</f>
        <v>0</v>
      </c>
      <c r="P17" s="32"/>
      <c r="Q17" s="11">
        <f>P17*C17</f>
        <v>0</v>
      </c>
      <c r="R17" s="32">
        <v>0</v>
      </c>
      <c r="S17" s="11">
        <f>R17*C17</f>
        <v>0</v>
      </c>
      <c r="T17" s="26">
        <f>D17+F17+H17+J17+L17+N17+P17+R17</f>
        <v>0</v>
      </c>
      <c r="U17" s="11">
        <f>T17*C17</f>
        <v>0</v>
      </c>
      <c r="V17" s="3"/>
    </row>
    <row r="18" spans="1:23">
      <c r="A18" s="11">
        <v>14</v>
      </c>
      <c r="B18" s="12" t="s">
        <v>56</v>
      </c>
      <c r="C18" s="13">
        <v>2.4</v>
      </c>
      <c r="D18" s="14">
        <v>0</v>
      </c>
      <c r="E18" s="11">
        <f>D18*C18</f>
        <v>0</v>
      </c>
      <c r="F18" s="14">
        <v>0</v>
      </c>
      <c r="G18" s="11">
        <f>F18*C18</f>
        <v>0</v>
      </c>
      <c r="H18" s="14">
        <v>0</v>
      </c>
      <c r="I18" s="11">
        <f>H18*C18</f>
        <v>0</v>
      </c>
      <c r="J18" s="14">
        <v>0</v>
      </c>
      <c r="K18" s="11">
        <f>J18*C18</f>
        <v>0</v>
      </c>
      <c r="L18" s="14">
        <v>0</v>
      </c>
      <c r="M18" s="11">
        <f>L18*C18</f>
        <v>0</v>
      </c>
      <c r="N18" s="14">
        <v>0</v>
      </c>
      <c r="O18" s="11">
        <f>N18*C18</f>
        <v>0</v>
      </c>
      <c r="P18" s="32"/>
      <c r="Q18" s="11">
        <f>P18*C18</f>
        <v>0</v>
      </c>
      <c r="R18" s="32">
        <v>0</v>
      </c>
      <c r="S18" s="11">
        <f>R18*C18</f>
        <v>0</v>
      </c>
      <c r="T18" s="26">
        <f>D18+F18+H18+J18+L18+N18+P18+R18</f>
        <v>0</v>
      </c>
      <c r="U18" s="11">
        <f>T18*C18</f>
        <v>0</v>
      </c>
      <c r="V18" s="3"/>
    </row>
    <row r="19" spans="1:23">
      <c r="A19" s="11">
        <v>15</v>
      </c>
      <c r="B19" s="12" t="s">
        <v>25</v>
      </c>
      <c r="C19" s="13">
        <v>1.5</v>
      </c>
      <c r="D19" s="14">
        <v>0</v>
      </c>
      <c r="E19" s="11">
        <f t="shared" si="0"/>
        <v>0</v>
      </c>
      <c r="F19" s="14">
        <v>0</v>
      </c>
      <c r="G19" s="11">
        <f t="shared" si="9"/>
        <v>0</v>
      </c>
      <c r="H19" s="14">
        <v>0</v>
      </c>
      <c r="I19" s="11">
        <f t="shared" si="8"/>
        <v>0</v>
      </c>
      <c r="J19" s="14">
        <v>0</v>
      </c>
      <c r="K19" s="11">
        <f t="shared" si="3"/>
        <v>0</v>
      </c>
      <c r="L19" s="14">
        <v>0</v>
      </c>
      <c r="M19" s="11">
        <f t="shared" si="4"/>
        <v>0</v>
      </c>
      <c r="N19" s="14">
        <v>0</v>
      </c>
      <c r="O19" s="11">
        <f t="shared" si="5"/>
        <v>0</v>
      </c>
      <c r="P19" s="32"/>
      <c r="Q19" s="11">
        <f t="shared" si="1"/>
        <v>0</v>
      </c>
      <c r="R19" s="32">
        <v>0</v>
      </c>
      <c r="S19" s="11">
        <f t="shared" si="6"/>
        <v>0</v>
      </c>
      <c r="T19" s="26">
        <f t="shared" si="7"/>
        <v>0</v>
      </c>
      <c r="U19" s="11">
        <f t="shared" si="2"/>
        <v>0</v>
      </c>
      <c r="V19" s="3"/>
    </row>
    <row r="20" spans="1:23">
      <c r="A20" s="11">
        <v>16</v>
      </c>
      <c r="B20" s="12" t="s">
        <v>58</v>
      </c>
      <c r="C20" s="13">
        <v>5.3</v>
      </c>
      <c r="D20" s="14">
        <v>26</v>
      </c>
      <c r="E20" s="11">
        <f>D20*C20</f>
        <v>137.79999999999998</v>
      </c>
      <c r="F20" s="14">
        <v>9</v>
      </c>
      <c r="G20" s="11">
        <f t="shared" si="9"/>
        <v>47.699999999999996</v>
      </c>
      <c r="H20" s="14">
        <v>4</v>
      </c>
      <c r="I20" s="11">
        <f t="shared" si="8"/>
        <v>21.2</v>
      </c>
      <c r="J20" s="14">
        <v>0</v>
      </c>
      <c r="K20" s="11">
        <f t="shared" si="3"/>
        <v>0</v>
      </c>
      <c r="L20" s="14">
        <v>23</v>
      </c>
      <c r="M20" s="26">
        <f t="shared" si="4"/>
        <v>121.89999999999999</v>
      </c>
      <c r="N20" s="14">
        <v>12</v>
      </c>
      <c r="O20" s="11">
        <f t="shared" si="5"/>
        <v>63.599999999999994</v>
      </c>
      <c r="P20" s="32"/>
      <c r="Q20" s="11">
        <f t="shared" si="1"/>
        <v>0</v>
      </c>
      <c r="R20" s="32">
        <v>2</v>
      </c>
      <c r="S20" s="11">
        <f t="shared" si="6"/>
        <v>10.6</v>
      </c>
      <c r="T20" s="26">
        <f t="shared" si="7"/>
        <v>76</v>
      </c>
      <c r="U20" s="11">
        <f t="shared" si="2"/>
        <v>402.8</v>
      </c>
      <c r="V20" s="3"/>
    </row>
    <row r="21" spans="1:23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>
        <v>0</v>
      </c>
      <c r="G21" s="11">
        <f>F21*A21</f>
        <v>0</v>
      </c>
      <c r="H21" s="32">
        <v>0</v>
      </c>
      <c r="I21" s="11">
        <f t="shared" si="8"/>
        <v>0</v>
      </c>
      <c r="J21" s="32">
        <v>0</v>
      </c>
      <c r="K21" s="11">
        <f t="shared" si="3"/>
        <v>0</v>
      </c>
      <c r="L21" s="38">
        <v>0</v>
      </c>
      <c r="M21" s="26">
        <f>L21*C21</f>
        <v>0</v>
      </c>
      <c r="N21" s="26">
        <v>0</v>
      </c>
      <c r="O21" s="26">
        <f t="shared" si="5"/>
        <v>0</v>
      </c>
      <c r="P21" s="32"/>
      <c r="Q21" s="11">
        <f t="shared" si="1"/>
        <v>0</v>
      </c>
      <c r="R21" s="32">
        <v>0</v>
      </c>
      <c r="S21" s="11">
        <f t="shared" si="6"/>
        <v>0</v>
      </c>
      <c r="T21" s="26">
        <f t="shared" si="7"/>
        <v>0</v>
      </c>
      <c r="U21" s="11">
        <f t="shared" si="2"/>
        <v>0</v>
      </c>
      <c r="V21" s="3"/>
    </row>
    <row r="22" spans="1:23">
      <c r="A22" s="16"/>
      <c r="B22" s="17" t="s">
        <v>6</v>
      </c>
      <c r="C22" s="17"/>
      <c r="D22" s="17"/>
      <c r="E22" s="17">
        <f>SUM(E5:E21)</f>
        <v>767.06999999999994</v>
      </c>
      <c r="F22" s="17"/>
      <c r="G22" s="17">
        <f>SUM(G5:G21)</f>
        <v>681.37</v>
      </c>
      <c r="H22" s="17"/>
      <c r="I22" s="17">
        <f>SUM(I5:I21)</f>
        <v>1169.1600000000001</v>
      </c>
      <c r="J22" s="17"/>
      <c r="K22" s="17">
        <f>SUM(K5:K21)</f>
        <v>843</v>
      </c>
      <c r="L22" s="17"/>
      <c r="M22" s="17">
        <f>SUM(M5:M21)</f>
        <v>2217.85</v>
      </c>
      <c r="N22" s="17"/>
      <c r="O22" s="17">
        <f>SUM(O5:O21)</f>
        <v>4772.4400000000005</v>
      </c>
      <c r="P22" s="17"/>
      <c r="Q22" s="17">
        <f>SUM(Q5:Q19)</f>
        <v>0</v>
      </c>
      <c r="R22" s="17"/>
      <c r="S22" s="17">
        <f>SUM(S5:S21)</f>
        <v>2066.9700000000003</v>
      </c>
      <c r="T22" s="17"/>
      <c r="U22" s="17">
        <f>SUM(U5:U21)</f>
        <v>12537.019999999999</v>
      </c>
      <c r="V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</sheetData>
  <mergeCells count="9">
    <mergeCell ref="N3:O3"/>
    <mergeCell ref="P3:Q3"/>
    <mergeCell ref="R3:S3"/>
    <mergeCell ref="T3:U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zoomScale="86" zoomScaleNormal="86" workbookViewId="0">
      <selection activeCell="I14" sqref="I14"/>
    </sheetView>
  </sheetViews>
  <sheetFormatPr baseColWidth="10" defaultColWidth="14.453125" defaultRowHeight="14.5"/>
  <cols>
    <col min="1" max="1" width="4.54296875" style="22" customWidth="1"/>
    <col min="2" max="2" width="22.54296875" style="22" customWidth="1"/>
    <col min="3" max="3" width="10.1796875" style="22" customWidth="1"/>
    <col min="4" max="22" width="9.54296875" style="22" customWidth="1"/>
    <col min="23" max="23" width="8.7265625" style="22" customWidth="1"/>
    <col min="24" max="16384" width="14.453125" style="22"/>
  </cols>
  <sheetData>
    <row r="1" spans="1:2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1" t="s">
        <v>0</v>
      </c>
      <c r="B2" s="2">
        <v>45627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>
      <c r="A3" s="4"/>
      <c r="B3" s="5"/>
      <c r="C3" s="6"/>
      <c r="D3" s="73" t="s">
        <v>27</v>
      </c>
      <c r="E3" s="74"/>
      <c r="F3" s="71" t="s">
        <v>28</v>
      </c>
      <c r="G3" s="72"/>
      <c r="H3" s="71" t="s">
        <v>29</v>
      </c>
      <c r="I3" s="72"/>
      <c r="J3" s="71" t="s">
        <v>30</v>
      </c>
      <c r="K3" s="72"/>
      <c r="L3" s="71" t="s">
        <v>31</v>
      </c>
      <c r="M3" s="72"/>
      <c r="N3" s="71" t="s">
        <v>32</v>
      </c>
      <c r="O3" s="72"/>
      <c r="P3" s="75" t="s">
        <v>33</v>
      </c>
      <c r="Q3" s="76"/>
      <c r="R3" s="71" t="s">
        <v>34</v>
      </c>
      <c r="S3" s="77"/>
      <c r="T3" s="71" t="s">
        <v>6</v>
      </c>
      <c r="U3" s="72"/>
      <c r="V3" s="3"/>
    </row>
    <row r="4" spans="1:23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3"/>
    </row>
    <row r="5" spans="1:23">
      <c r="A5" s="11">
        <v>1</v>
      </c>
      <c r="B5" s="12" t="s">
        <v>13</v>
      </c>
      <c r="C5" s="13">
        <v>0.99</v>
      </c>
      <c r="D5" s="14"/>
      <c r="E5" s="11">
        <f t="shared" ref="E5:E19" si="0">D5*C5</f>
        <v>0</v>
      </c>
      <c r="F5" s="11"/>
      <c r="G5" s="11">
        <f t="shared" ref="G5:G19" si="1">F5*A5</f>
        <v>0</v>
      </c>
      <c r="H5" s="11"/>
      <c r="I5" s="11">
        <f>H5*C5</f>
        <v>0</v>
      </c>
      <c r="J5" s="11"/>
      <c r="K5" s="11">
        <f>J5*C5</f>
        <v>0</v>
      </c>
      <c r="L5" s="11"/>
      <c r="M5" s="11">
        <f t="shared" ref="M5:M20" si="2">L5*C5</f>
        <v>0</v>
      </c>
      <c r="N5" s="11"/>
      <c r="O5" s="11">
        <f t="shared" ref="O5:O21" si="3">N5*C5</f>
        <v>0</v>
      </c>
      <c r="P5" s="11"/>
      <c r="Q5" s="11">
        <f t="shared" ref="Q5:Q21" si="4">P5*C5</f>
        <v>0</v>
      </c>
      <c r="R5" s="11"/>
      <c r="S5" s="11">
        <f t="shared" ref="S5:S21" si="5">R5*C5</f>
        <v>0</v>
      </c>
      <c r="T5" s="26">
        <f>D5+F5+H5+J5+L5+N5+P5+R5</f>
        <v>0</v>
      </c>
      <c r="U5" s="11">
        <f t="shared" ref="U5:U21" si="6">T5*C5</f>
        <v>0</v>
      </c>
      <c r="V5" s="3"/>
    </row>
    <row r="6" spans="1:23">
      <c r="A6" s="11">
        <v>2</v>
      </c>
      <c r="B6" s="12" t="s">
        <v>14</v>
      </c>
      <c r="C6" s="13">
        <v>2.29</v>
      </c>
      <c r="D6" s="14"/>
      <c r="E6" s="11">
        <f t="shared" si="0"/>
        <v>0</v>
      </c>
      <c r="F6" s="11"/>
      <c r="G6" s="11">
        <f t="shared" si="1"/>
        <v>0</v>
      </c>
      <c r="H6" s="11"/>
      <c r="I6" s="11">
        <f t="shared" ref="I6:I21" si="7">H6*C6</f>
        <v>0</v>
      </c>
      <c r="J6" s="11"/>
      <c r="K6" s="11">
        <f t="shared" ref="K6:K21" si="8">J6*C6</f>
        <v>0</v>
      </c>
      <c r="L6" s="11"/>
      <c r="M6" s="11">
        <f t="shared" si="2"/>
        <v>0</v>
      </c>
      <c r="N6" s="11"/>
      <c r="O6" s="11">
        <f t="shared" si="3"/>
        <v>0</v>
      </c>
      <c r="P6" s="11"/>
      <c r="Q6" s="11">
        <f t="shared" si="4"/>
        <v>0</v>
      </c>
      <c r="R6" s="11"/>
      <c r="S6" s="11">
        <f t="shared" si="5"/>
        <v>0</v>
      </c>
      <c r="T6" s="26">
        <f t="shared" ref="T6:T21" si="9">D6+F6+H6+J6+L6+N6+P6+R6</f>
        <v>0</v>
      </c>
      <c r="U6" s="11">
        <f t="shared" si="6"/>
        <v>0</v>
      </c>
      <c r="V6" s="3"/>
    </row>
    <row r="7" spans="1:23">
      <c r="A7" s="11">
        <v>3</v>
      </c>
      <c r="B7" s="12" t="s">
        <v>15</v>
      </c>
      <c r="C7" s="13">
        <v>3.66</v>
      </c>
      <c r="D7" s="14"/>
      <c r="E7" s="11">
        <f t="shared" si="0"/>
        <v>0</v>
      </c>
      <c r="F7" s="11"/>
      <c r="G7" s="11">
        <f t="shared" si="1"/>
        <v>0</v>
      </c>
      <c r="H7" s="11"/>
      <c r="I7" s="11">
        <f t="shared" si="7"/>
        <v>0</v>
      </c>
      <c r="J7" s="11"/>
      <c r="K7" s="11">
        <f t="shared" si="8"/>
        <v>0</v>
      </c>
      <c r="L7" s="11"/>
      <c r="M7" s="11">
        <f t="shared" si="2"/>
        <v>0</v>
      </c>
      <c r="N7" s="11"/>
      <c r="O7" s="11">
        <f t="shared" si="3"/>
        <v>0</v>
      </c>
      <c r="P7" s="11"/>
      <c r="Q7" s="11">
        <f t="shared" si="4"/>
        <v>0</v>
      </c>
      <c r="R7" s="11"/>
      <c r="S7" s="11">
        <f t="shared" si="5"/>
        <v>0</v>
      </c>
      <c r="T7" s="26">
        <f t="shared" si="9"/>
        <v>0</v>
      </c>
      <c r="U7" s="11">
        <f t="shared" si="6"/>
        <v>0</v>
      </c>
      <c r="V7" s="3"/>
    </row>
    <row r="8" spans="1:23">
      <c r="A8" s="11">
        <v>4</v>
      </c>
      <c r="B8" s="12" t="s">
        <v>16</v>
      </c>
      <c r="C8" s="13">
        <v>2.81</v>
      </c>
      <c r="D8" s="14"/>
      <c r="E8" s="11">
        <f t="shared" si="0"/>
        <v>0</v>
      </c>
      <c r="F8" s="11"/>
      <c r="G8" s="11">
        <f t="shared" si="1"/>
        <v>0</v>
      </c>
      <c r="H8" s="11"/>
      <c r="I8" s="11">
        <f t="shared" si="7"/>
        <v>0</v>
      </c>
      <c r="J8" s="11"/>
      <c r="K8" s="11">
        <f t="shared" si="8"/>
        <v>0</v>
      </c>
      <c r="L8" s="11"/>
      <c r="M8" s="11">
        <f t="shared" si="2"/>
        <v>0</v>
      </c>
      <c r="N8" s="11"/>
      <c r="O8" s="11">
        <f t="shared" si="3"/>
        <v>0</v>
      </c>
      <c r="P8" s="11"/>
      <c r="Q8" s="11">
        <f t="shared" si="4"/>
        <v>0</v>
      </c>
      <c r="R8" s="11"/>
      <c r="S8" s="11">
        <f t="shared" si="5"/>
        <v>0</v>
      </c>
      <c r="T8" s="26">
        <f t="shared" si="9"/>
        <v>0</v>
      </c>
      <c r="U8" s="11">
        <f t="shared" si="6"/>
        <v>0</v>
      </c>
      <c r="V8" s="3"/>
    </row>
    <row r="9" spans="1:23">
      <c r="A9" s="11">
        <v>5</v>
      </c>
      <c r="B9" s="12" t="s">
        <v>17</v>
      </c>
      <c r="C9" s="13">
        <v>3.46</v>
      </c>
      <c r="D9" s="14"/>
      <c r="E9" s="11">
        <f t="shared" si="0"/>
        <v>0</v>
      </c>
      <c r="F9" s="11"/>
      <c r="G9" s="11">
        <f t="shared" si="1"/>
        <v>0</v>
      </c>
      <c r="H9" s="11"/>
      <c r="I9" s="11">
        <f t="shared" si="7"/>
        <v>0</v>
      </c>
      <c r="J9" s="11"/>
      <c r="K9" s="11">
        <f t="shared" si="8"/>
        <v>0</v>
      </c>
      <c r="L9" s="11"/>
      <c r="M9" s="11">
        <f t="shared" si="2"/>
        <v>0</v>
      </c>
      <c r="N9" s="11"/>
      <c r="O9" s="11">
        <f t="shared" si="3"/>
        <v>0</v>
      </c>
      <c r="P9" s="11"/>
      <c r="Q9" s="11">
        <f t="shared" si="4"/>
        <v>0</v>
      </c>
      <c r="R9" s="11"/>
      <c r="S9" s="11">
        <f t="shared" si="5"/>
        <v>0</v>
      </c>
      <c r="T9" s="26">
        <f t="shared" si="9"/>
        <v>0</v>
      </c>
      <c r="U9" s="11">
        <f t="shared" si="6"/>
        <v>0</v>
      </c>
      <c r="V9" s="3"/>
    </row>
    <row r="10" spans="1:23">
      <c r="A10" s="11">
        <v>6</v>
      </c>
      <c r="B10" s="12" t="s">
        <v>18</v>
      </c>
      <c r="C10" s="13">
        <v>1.06</v>
      </c>
      <c r="D10" s="14"/>
      <c r="E10" s="11">
        <f t="shared" si="0"/>
        <v>0</v>
      </c>
      <c r="F10" s="11"/>
      <c r="G10" s="11">
        <f t="shared" si="1"/>
        <v>0</v>
      </c>
      <c r="H10" s="11"/>
      <c r="I10" s="11">
        <f t="shared" si="7"/>
        <v>0</v>
      </c>
      <c r="J10" s="11"/>
      <c r="K10" s="11">
        <f t="shared" si="8"/>
        <v>0</v>
      </c>
      <c r="L10" s="11"/>
      <c r="M10" s="11">
        <f t="shared" si="2"/>
        <v>0</v>
      </c>
      <c r="N10" s="11"/>
      <c r="O10" s="11">
        <f t="shared" si="3"/>
        <v>0</v>
      </c>
      <c r="P10" s="11"/>
      <c r="Q10" s="11">
        <f t="shared" si="4"/>
        <v>0</v>
      </c>
      <c r="R10" s="11"/>
      <c r="S10" s="11">
        <f t="shared" si="5"/>
        <v>0</v>
      </c>
      <c r="T10" s="26">
        <f t="shared" si="9"/>
        <v>0</v>
      </c>
      <c r="U10" s="11">
        <f t="shared" si="6"/>
        <v>0</v>
      </c>
      <c r="V10" s="3"/>
    </row>
    <row r="11" spans="1:23">
      <c r="A11" s="11">
        <v>7</v>
      </c>
      <c r="B11" s="12" t="s">
        <v>19</v>
      </c>
      <c r="C11" s="13">
        <v>3.63</v>
      </c>
      <c r="D11" s="14"/>
      <c r="E11" s="11">
        <f t="shared" si="0"/>
        <v>0</v>
      </c>
      <c r="F11" s="11"/>
      <c r="G11" s="11">
        <f t="shared" si="1"/>
        <v>0</v>
      </c>
      <c r="H11" s="11"/>
      <c r="I11" s="11">
        <f t="shared" si="7"/>
        <v>0</v>
      </c>
      <c r="J11" s="11"/>
      <c r="K11" s="11">
        <f t="shared" si="8"/>
        <v>0</v>
      </c>
      <c r="L11" s="11"/>
      <c r="M11" s="11">
        <f t="shared" si="2"/>
        <v>0</v>
      </c>
      <c r="N11" s="11"/>
      <c r="O11" s="11">
        <f t="shared" si="3"/>
        <v>0</v>
      </c>
      <c r="P11" s="11"/>
      <c r="Q11" s="11">
        <f t="shared" si="4"/>
        <v>0</v>
      </c>
      <c r="R11" s="11"/>
      <c r="S11" s="11">
        <f t="shared" si="5"/>
        <v>0</v>
      </c>
      <c r="T11" s="26">
        <f t="shared" si="9"/>
        <v>0</v>
      </c>
      <c r="U11" s="11">
        <f t="shared" si="6"/>
        <v>0</v>
      </c>
      <c r="V11" s="3"/>
    </row>
    <row r="12" spans="1:23">
      <c r="A12" s="11">
        <v>8</v>
      </c>
      <c r="B12" s="12" t="s">
        <v>20</v>
      </c>
      <c r="C12" s="13">
        <v>0.85</v>
      </c>
      <c r="D12" s="14"/>
      <c r="E12" s="11">
        <f t="shared" si="0"/>
        <v>0</v>
      </c>
      <c r="F12" s="11"/>
      <c r="G12" s="11">
        <f t="shared" si="1"/>
        <v>0</v>
      </c>
      <c r="H12" s="11"/>
      <c r="I12" s="11">
        <f t="shared" si="7"/>
        <v>0</v>
      </c>
      <c r="J12" s="11"/>
      <c r="K12" s="11">
        <f t="shared" si="8"/>
        <v>0</v>
      </c>
      <c r="L12" s="11"/>
      <c r="M12" s="11">
        <f t="shared" si="2"/>
        <v>0</v>
      </c>
      <c r="N12" s="11"/>
      <c r="O12" s="11">
        <f t="shared" si="3"/>
        <v>0</v>
      </c>
      <c r="P12" s="11"/>
      <c r="Q12" s="11">
        <f t="shared" si="4"/>
        <v>0</v>
      </c>
      <c r="R12" s="11"/>
      <c r="S12" s="11">
        <f t="shared" si="5"/>
        <v>0</v>
      </c>
      <c r="T12" s="26">
        <f t="shared" si="9"/>
        <v>0</v>
      </c>
      <c r="U12" s="11">
        <f t="shared" si="6"/>
        <v>0</v>
      </c>
      <c r="V12" s="3"/>
    </row>
    <row r="13" spans="1:23" ht="15" customHeight="1">
      <c r="A13" s="11">
        <v>9</v>
      </c>
      <c r="B13" s="12" t="s">
        <v>21</v>
      </c>
      <c r="C13" s="13">
        <v>1.98</v>
      </c>
      <c r="D13" s="14"/>
      <c r="E13" s="11">
        <f t="shared" si="0"/>
        <v>0</v>
      </c>
      <c r="F13" s="11"/>
      <c r="G13" s="11">
        <f t="shared" si="1"/>
        <v>0</v>
      </c>
      <c r="H13" s="11"/>
      <c r="I13" s="11">
        <f t="shared" si="7"/>
        <v>0</v>
      </c>
      <c r="J13" s="11"/>
      <c r="K13" s="11">
        <f t="shared" si="8"/>
        <v>0</v>
      </c>
      <c r="L13" s="11"/>
      <c r="M13" s="11">
        <f t="shared" si="2"/>
        <v>0</v>
      </c>
      <c r="N13" s="11"/>
      <c r="O13" s="11">
        <f t="shared" si="3"/>
        <v>0</v>
      </c>
      <c r="P13" s="11"/>
      <c r="Q13" s="11">
        <f t="shared" si="4"/>
        <v>0</v>
      </c>
      <c r="R13" s="11"/>
      <c r="S13" s="11">
        <f t="shared" si="5"/>
        <v>0</v>
      </c>
      <c r="T13" s="26">
        <f t="shared" si="9"/>
        <v>0</v>
      </c>
      <c r="U13" s="11">
        <f t="shared" si="6"/>
        <v>0</v>
      </c>
      <c r="V13" s="3"/>
    </row>
    <row r="14" spans="1:23">
      <c r="A14" s="11">
        <v>10</v>
      </c>
      <c r="B14" s="15" t="s">
        <v>22</v>
      </c>
      <c r="C14" s="13">
        <v>1.98</v>
      </c>
      <c r="D14" s="14"/>
      <c r="E14" s="11">
        <f t="shared" si="0"/>
        <v>0</v>
      </c>
      <c r="F14" s="11"/>
      <c r="G14" s="11">
        <f t="shared" si="1"/>
        <v>0</v>
      </c>
      <c r="H14" s="11"/>
      <c r="I14" s="11">
        <f t="shared" si="7"/>
        <v>0</v>
      </c>
      <c r="J14" s="11"/>
      <c r="K14" s="11">
        <f t="shared" si="8"/>
        <v>0</v>
      </c>
      <c r="L14" s="11"/>
      <c r="M14" s="11">
        <f t="shared" si="2"/>
        <v>0</v>
      </c>
      <c r="N14" s="11"/>
      <c r="O14" s="11">
        <f t="shared" si="3"/>
        <v>0</v>
      </c>
      <c r="P14" s="11"/>
      <c r="Q14" s="11">
        <f t="shared" si="4"/>
        <v>0</v>
      </c>
      <c r="R14" s="11"/>
      <c r="S14" s="11">
        <f t="shared" si="5"/>
        <v>0</v>
      </c>
      <c r="T14" s="26">
        <f t="shared" si="9"/>
        <v>0</v>
      </c>
      <c r="U14" s="11">
        <f t="shared" si="6"/>
        <v>0</v>
      </c>
      <c r="V14" s="3"/>
    </row>
    <row r="15" spans="1:23" ht="13.5" customHeight="1">
      <c r="A15" s="11">
        <v>11</v>
      </c>
      <c r="B15" s="12" t="s">
        <v>23</v>
      </c>
      <c r="C15" s="13">
        <v>4.6900000000000004</v>
      </c>
      <c r="D15" s="14"/>
      <c r="E15" s="11">
        <f t="shared" si="0"/>
        <v>0</v>
      </c>
      <c r="F15" s="11"/>
      <c r="G15" s="11">
        <f t="shared" si="1"/>
        <v>0</v>
      </c>
      <c r="H15" s="11"/>
      <c r="I15" s="11">
        <f t="shared" si="7"/>
        <v>0</v>
      </c>
      <c r="J15" s="11"/>
      <c r="K15" s="11">
        <f t="shared" si="8"/>
        <v>0</v>
      </c>
      <c r="L15" s="11"/>
      <c r="M15" s="11">
        <f t="shared" si="2"/>
        <v>0</v>
      </c>
      <c r="N15" s="32"/>
      <c r="O15" s="11">
        <f t="shared" si="3"/>
        <v>0</v>
      </c>
      <c r="P15" s="32"/>
      <c r="Q15" s="11">
        <f t="shared" si="4"/>
        <v>0</v>
      </c>
      <c r="R15" s="32"/>
      <c r="S15" s="11">
        <f t="shared" si="5"/>
        <v>0</v>
      </c>
      <c r="T15" s="26">
        <f t="shared" si="9"/>
        <v>0</v>
      </c>
      <c r="U15" s="11">
        <f t="shared" si="6"/>
        <v>0</v>
      </c>
      <c r="V15" s="3"/>
    </row>
    <row r="16" spans="1:23">
      <c r="A16" s="11">
        <v>12</v>
      </c>
      <c r="B16" s="12" t="s">
        <v>24</v>
      </c>
      <c r="C16" s="13">
        <v>2.9</v>
      </c>
      <c r="D16" s="14"/>
      <c r="E16" s="11">
        <f t="shared" si="0"/>
        <v>0</v>
      </c>
      <c r="F16" s="11"/>
      <c r="G16" s="11">
        <f t="shared" si="1"/>
        <v>0</v>
      </c>
      <c r="H16" s="11"/>
      <c r="I16" s="11">
        <f t="shared" si="7"/>
        <v>0</v>
      </c>
      <c r="J16" s="11"/>
      <c r="K16" s="11">
        <f t="shared" si="8"/>
        <v>0</v>
      </c>
      <c r="L16" s="11"/>
      <c r="M16" s="11">
        <f t="shared" si="2"/>
        <v>0</v>
      </c>
      <c r="N16" s="32"/>
      <c r="O16" s="11">
        <f t="shared" si="3"/>
        <v>0</v>
      </c>
      <c r="P16" s="32"/>
      <c r="Q16" s="11">
        <f t="shared" si="4"/>
        <v>0</v>
      </c>
      <c r="R16" s="32"/>
      <c r="S16" s="11">
        <f t="shared" si="5"/>
        <v>0</v>
      </c>
      <c r="T16" s="26">
        <f t="shared" si="9"/>
        <v>0</v>
      </c>
      <c r="U16" s="11">
        <f t="shared" si="6"/>
        <v>0</v>
      </c>
      <c r="V16" s="3"/>
    </row>
    <row r="17" spans="1:23">
      <c r="A17" s="11">
        <v>13</v>
      </c>
      <c r="B17" s="12" t="s">
        <v>55</v>
      </c>
      <c r="C17" s="13">
        <v>1.9</v>
      </c>
      <c r="D17" s="14"/>
      <c r="E17" s="11">
        <f>D17*C17</f>
        <v>0</v>
      </c>
      <c r="F17" s="14"/>
      <c r="G17" s="11">
        <f>F17*C17</f>
        <v>0</v>
      </c>
      <c r="H17" s="14"/>
      <c r="I17" s="11">
        <f t="shared" si="7"/>
        <v>0</v>
      </c>
      <c r="J17" s="14"/>
      <c r="K17" s="11">
        <f t="shared" si="8"/>
        <v>0</v>
      </c>
      <c r="L17" s="14"/>
      <c r="M17" s="11">
        <f t="shared" si="2"/>
        <v>0</v>
      </c>
      <c r="N17" s="14"/>
      <c r="O17" s="11">
        <f t="shared" si="3"/>
        <v>0</v>
      </c>
      <c r="P17" s="32"/>
      <c r="Q17" s="11">
        <f t="shared" si="4"/>
        <v>0</v>
      </c>
      <c r="R17" s="32"/>
      <c r="S17" s="11">
        <f t="shared" si="5"/>
        <v>0</v>
      </c>
      <c r="T17" s="26">
        <f>D17+F17+H17+J17+L17+N17+P17+R17</f>
        <v>0</v>
      </c>
      <c r="U17" s="11">
        <f>T17*C17</f>
        <v>0</v>
      </c>
      <c r="V17" s="3"/>
    </row>
    <row r="18" spans="1:23">
      <c r="A18" s="11">
        <v>14</v>
      </c>
      <c r="B18" s="12" t="s">
        <v>56</v>
      </c>
      <c r="C18" s="13">
        <v>2.4</v>
      </c>
      <c r="D18" s="14"/>
      <c r="E18" s="11">
        <f>D18*C18</f>
        <v>0</v>
      </c>
      <c r="F18" s="14"/>
      <c r="G18" s="11">
        <f>F18*C18</f>
        <v>0</v>
      </c>
      <c r="H18" s="14"/>
      <c r="I18" s="11">
        <f t="shared" si="7"/>
        <v>0</v>
      </c>
      <c r="J18" s="14"/>
      <c r="K18" s="11">
        <f t="shared" si="8"/>
        <v>0</v>
      </c>
      <c r="L18" s="14"/>
      <c r="M18" s="11">
        <f t="shared" si="2"/>
        <v>0</v>
      </c>
      <c r="N18" s="14"/>
      <c r="O18" s="11">
        <f t="shared" si="3"/>
        <v>0</v>
      </c>
      <c r="P18" s="32"/>
      <c r="Q18" s="11">
        <f t="shared" si="4"/>
        <v>0</v>
      </c>
      <c r="R18" s="32"/>
      <c r="S18" s="11">
        <f t="shared" si="5"/>
        <v>0</v>
      </c>
      <c r="T18" s="26">
        <f>D18+F18+H18+J18+L18+N18+P18+R18</f>
        <v>0</v>
      </c>
      <c r="U18" s="11">
        <f>T18*C18</f>
        <v>0</v>
      </c>
      <c r="V18" s="3"/>
    </row>
    <row r="19" spans="1:23">
      <c r="A19" s="11">
        <v>15</v>
      </c>
      <c r="B19" s="12" t="s">
        <v>25</v>
      </c>
      <c r="C19" s="13">
        <v>1.5</v>
      </c>
      <c r="D19" s="31"/>
      <c r="E19" s="11">
        <f t="shared" si="0"/>
        <v>0</v>
      </c>
      <c r="F19" s="32"/>
      <c r="G19" s="11">
        <f t="shared" si="1"/>
        <v>0</v>
      </c>
      <c r="H19" s="32"/>
      <c r="I19" s="11">
        <f t="shared" si="7"/>
        <v>0</v>
      </c>
      <c r="J19" s="32"/>
      <c r="K19" s="11">
        <f t="shared" si="8"/>
        <v>0</v>
      </c>
      <c r="L19" s="32"/>
      <c r="M19" s="11">
        <f t="shared" si="2"/>
        <v>0</v>
      </c>
      <c r="N19" s="32"/>
      <c r="O19" s="11">
        <f t="shared" si="3"/>
        <v>0</v>
      </c>
      <c r="P19" s="32"/>
      <c r="Q19" s="11">
        <f t="shared" si="4"/>
        <v>0</v>
      </c>
      <c r="R19" s="32"/>
      <c r="S19" s="11">
        <f t="shared" si="5"/>
        <v>0</v>
      </c>
      <c r="T19" s="26">
        <f t="shared" si="9"/>
        <v>0</v>
      </c>
      <c r="U19" s="11">
        <f t="shared" si="6"/>
        <v>0</v>
      </c>
      <c r="V19" s="3"/>
    </row>
    <row r="20" spans="1:23">
      <c r="A20" s="11">
        <v>16</v>
      </c>
      <c r="B20" s="12" t="s">
        <v>58</v>
      </c>
      <c r="C20" s="13">
        <v>5.38</v>
      </c>
      <c r="D20" s="14">
        <v>0</v>
      </c>
      <c r="E20" s="11">
        <f>D20*C20</f>
        <v>0</v>
      </c>
      <c r="F20" s="14"/>
      <c r="G20" s="11">
        <f>F20*C20</f>
        <v>0</v>
      </c>
      <c r="H20" s="14">
        <v>0</v>
      </c>
      <c r="I20" s="11">
        <f t="shared" si="7"/>
        <v>0</v>
      </c>
      <c r="J20" s="14"/>
      <c r="K20" s="11">
        <f t="shared" si="8"/>
        <v>0</v>
      </c>
      <c r="L20" s="14">
        <v>0</v>
      </c>
      <c r="M20" s="26">
        <f t="shared" si="2"/>
        <v>0</v>
      </c>
      <c r="N20" s="14">
        <v>0</v>
      </c>
      <c r="O20" s="11">
        <f t="shared" si="3"/>
        <v>0</v>
      </c>
      <c r="P20" s="32"/>
      <c r="Q20" s="11">
        <f t="shared" si="4"/>
        <v>0</v>
      </c>
      <c r="R20" s="32">
        <v>0</v>
      </c>
      <c r="S20" s="11">
        <f t="shared" si="5"/>
        <v>0</v>
      </c>
      <c r="T20" s="26">
        <f t="shared" si="9"/>
        <v>0</v>
      </c>
      <c r="U20" s="11">
        <f t="shared" si="6"/>
        <v>0</v>
      </c>
      <c r="V20" s="3"/>
    </row>
    <row r="21" spans="1:23" ht="15" thickBot="1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/>
      <c r="G21" s="11">
        <f>F21*A21</f>
        <v>0</v>
      </c>
      <c r="H21" s="32">
        <v>0</v>
      </c>
      <c r="I21" s="11">
        <f t="shared" si="7"/>
        <v>0</v>
      </c>
      <c r="J21" s="32"/>
      <c r="K21" s="11">
        <f t="shared" si="8"/>
        <v>0</v>
      </c>
      <c r="L21" s="38">
        <v>0</v>
      </c>
      <c r="M21" s="26">
        <f>L21*C21</f>
        <v>0</v>
      </c>
      <c r="N21" s="26">
        <v>0</v>
      </c>
      <c r="O21" s="26">
        <f t="shared" si="3"/>
        <v>0</v>
      </c>
      <c r="P21" s="32"/>
      <c r="Q21" s="11">
        <f t="shared" si="4"/>
        <v>0</v>
      </c>
      <c r="R21" s="32">
        <v>0</v>
      </c>
      <c r="S21" s="11">
        <f t="shared" si="5"/>
        <v>0</v>
      </c>
      <c r="T21" s="26">
        <f t="shared" si="9"/>
        <v>0</v>
      </c>
      <c r="U21" s="11">
        <f t="shared" si="6"/>
        <v>0</v>
      </c>
      <c r="V21" s="3"/>
    </row>
    <row r="22" spans="1:23" ht="15" thickBot="1">
      <c r="A22" s="16"/>
      <c r="B22" s="17" t="s">
        <v>6</v>
      </c>
      <c r="C22" s="17"/>
      <c r="D22" s="17"/>
      <c r="E22" s="17">
        <f>SUM(E5:E19)</f>
        <v>0</v>
      </c>
      <c r="F22" s="17"/>
      <c r="G22" s="17">
        <f>SUM(G5:G19)</f>
        <v>0</v>
      </c>
      <c r="H22" s="17"/>
      <c r="I22" s="17">
        <f>SUM(I5:I19)</f>
        <v>0</v>
      </c>
      <c r="J22" s="17"/>
      <c r="K22" s="17">
        <f>SUM(K5:K19)</f>
        <v>0</v>
      </c>
      <c r="L22" s="17"/>
      <c r="M22" s="17">
        <f>SUM(M5:M19)</f>
        <v>0</v>
      </c>
      <c r="N22" s="17"/>
      <c r="O22" s="17">
        <f>SUM(O5:O19)</f>
        <v>0</v>
      </c>
      <c r="P22" s="17"/>
      <c r="Q22" s="17">
        <f>SUM(Q5:Q19)</f>
        <v>0</v>
      </c>
      <c r="R22" s="17"/>
      <c r="S22" s="17">
        <f>SUM(S5:S19)</f>
        <v>0</v>
      </c>
      <c r="T22" s="17"/>
      <c r="U22" s="17">
        <f>SUM(E22+I22+M22+O22+Q22+S22)</f>
        <v>0</v>
      </c>
      <c r="V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</sheetData>
  <mergeCells count="9">
    <mergeCell ref="N3:O3"/>
    <mergeCell ref="P3:Q3"/>
    <mergeCell ref="R3:S3"/>
    <mergeCell ref="T3:U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zoomScale="78" zoomScaleNormal="78" workbookViewId="0">
      <selection activeCell="P12" sqref="P12"/>
    </sheetView>
  </sheetViews>
  <sheetFormatPr baseColWidth="10" defaultColWidth="14.453125" defaultRowHeight="14.5"/>
  <cols>
    <col min="1" max="1" width="4.54296875" style="22" customWidth="1"/>
    <col min="2" max="2" width="22.54296875" style="22" customWidth="1"/>
    <col min="3" max="3" width="10.1796875" style="22" customWidth="1"/>
    <col min="4" max="22" width="9.54296875" style="22" customWidth="1"/>
    <col min="23" max="23" width="8.7265625" style="22" customWidth="1"/>
    <col min="24" max="16384" width="14.453125" style="22"/>
  </cols>
  <sheetData>
    <row r="1" spans="1:2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1" t="s">
        <v>0</v>
      </c>
      <c r="B2" s="2">
        <v>45962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" customHeight="1">
      <c r="A3" s="4"/>
      <c r="B3" s="5"/>
      <c r="C3" s="6"/>
      <c r="D3" s="73" t="s">
        <v>27</v>
      </c>
      <c r="E3" s="74"/>
      <c r="F3" s="71" t="s">
        <v>28</v>
      </c>
      <c r="G3" s="72"/>
      <c r="H3" s="71" t="s">
        <v>29</v>
      </c>
      <c r="I3" s="72"/>
      <c r="J3" s="71" t="s">
        <v>30</v>
      </c>
      <c r="K3" s="72"/>
      <c r="L3" s="71" t="s">
        <v>31</v>
      </c>
      <c r="M3" s="72"/>
      <c r="N3" s="71" t="s">
        <v>32</v>
      </c>
      <c r="O3" s="72"/>
      <c r="P3" s="75" t="s">
        <v>33</v>
      </c>
      <c r="Q3" s="76"/>
      <c r="R3" s="71" t="s">
        <v>34</v>
      </c>
      <c r="S3" s="77"/>
      <c r="T3" s="71" t="s">
        <v>6</v>
      </c>
      <c r="U3" s="72"/>
      <c r="V3" s="3"/>
    </row>
    <row r="4" spans="1:23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3"/>
    </row>
    <row r="5" spans="1:23">
      <c r="A5" s="11">
        <v>1</v>
      </c>
      <c r="B5" s="64" t="s">
        <v>13</v>
      </c>
      <c r="C5" s="63">
        <v>0.99</v>
      </c>
      <c r="D5" s="66">
        <v>620</v>
      </c>
      <c r="E5" s="11">
        <f t="shared" ref="E5:E19" si="0">D5*C5</f>
        <v>613.79999999999995</v>
      </c>
      <c r="F5" s="11"/>
      <c r="G5" s="11">
        <f t="shared" ref="G5:G19" si="1">F5*A5</f>
        <v>0</v>
      </c>
      <c r="H5" s="11">
        <v>0</v>
      </c>
      <c r="I5" s="11">
        <f>H5*C5</f>
        <v>0</v>
      </c>
      <c r="J5" s="11"/>
      <c r="K5" s="11">
        <v>0</v>
      </c>
      <c r="L5" s="11">
        <v>0</v>
      </c>
      <c r="M5" s="11">
        <f>L5*C5</f>
        <v>0</v>
      </c>
      <c r="N5" s="11">
        <v>490</v>
      </c>
      <c r="O5" s="11">
        <f t="shared" ref="O5:O21" si="2">N5*C5</f>
        <v>485.1</v>
      </c>
      <c r="P5" s="11"/>
      <c r="Q5" s="11">
        <f t="shared" ref="Q5:Q21" si="3">P5*C5</f>
        <v>0</v>
      </c>
      <c r="R5" s="11">
        <v>480</v>
      </c>
      <c r="S5" s="11">
        <f t="shared" ref="S5:S21" si="4">R5*C5</f>
        <v>475.2</v>
      </c>
      <c r="T5" s="26">
        <f>D5+F5+H5+J5+L5+N5+P5+R5</f>
        <v>1590</v>
      </c>
      <c r="U5" s="11">
        <f>T5*C5</f>
        <v>1574.1</v>
      </c>
      <c r="V5" s="3"/>
    </row>
    <row r="6" spans="1:23">
      <c r="A6" s="11">
        <v>2</v>
      </c>
      <c r="B6" s="64" t="s">
        <v>14</v>
      </c>
      <c r="C6" s="63">
        <v>2.29</v>
      </c>
      <c r="D6" s="66">
        <v>100</v>
      </c>
      <c r="E6" s="11">
        <f t="shared" si="0"/>
        <v>229</v>
      </c>
      <c r="F6" s="11"/>
      <c r="G6" s="11">
        <f t="shared" si="1"/>
        <v>0</v>
      </c>
      <c r="H6" s="11">
        <v>0</v>
      </c>
      <c r="I6" s="11">
        <f t="shared" ref="I6:I21" si="5">H6*C6</f>
        <v>0</v>
      </c>
      <c r="J6" s="11">
        <v>0</v>
      </c>
      <c r="K6" s="11">
        <f t="shared" ref="K6:K21" si="6">J6*C6</f>
        <v>0</v>
      </c>
      <c r="L6" s="11">
        <v>0</v>
      </c>
      <c r="M6" s="11">
        <f t="shared" ref="M6:M20" si="7">L6*C6</f>
        <v>0</v>
      </c>
      <c r="N6" s="11">
        <v>0</v>
      </c>
      <c r="O6" s="11">
        <f t="shared" si="2"/>
        <v>0</v>
      </c>
      <c r="P6" s="11"/>
      <c r="Q6" s="11">
        <f t="shared" si="3"/>
        <v>0</v>
      </c>
      <c r="R6" s="11">
        <v>0</v>
      </c>
      <c r="S6" s="11">
        <f t="shared" si="4"/>
        <v>0</v>
      </c>
      <c r="T6" s="26">
        <f t="shared" ref="T6:T21" si="8">D6+F6+H6+J6+L6+N6+P6+R6</f>
        <v>100</v>
      </c>
      <c r="U6" s="11">
        <f t="shared" ref="U6:U21" si="9">T6*C6</f>
        <v>229</v>
      </c>
      <c r="V6" s="3"/>
    </row>
    <row r="7" spans="1:23">
      <c r="A7" s="11">
        <v>3</v>
      </c>
      <c r="B7" s="64" t="s">
        <v>15</v>
      </c>
      <c r="C7" s="63">
        <v>3.66</v>
      </c>
      <c r="D7" s="66">
        <v>9</v>
      </c>
      <c r="E7" s="11">
        <f t="shared" si="0"/>
        <v>32.94</v>
      </c>
      <c r="F7" s="11"/>
      <c r="G7" s="11">
        <f t="shared" si="1"/>
        <v>0</v>
      </c>
      <c r="H7" s="11">
        <v>0</v>
      </c>
      <c r="I7" s="11">
        <f t="shared" si="5"/>
        <v>0</v>
      </c>
      <c r="J7" s="11"/>
      <c r="K7" s="11">
        <v>0</v>
      </c>
      <c r="L7" s="11">
        <v>12</v>
      </c>
      <c r="M7" s="11">
        <f t="shared" si="7"/>
        <v>43.92</v>
      </c>
      <c r="N7" s="11">
        <v>16</v>
      </c>
      <c r="O7" s="11">
        <f t="shared" si="2"/>
        <v>58.56</v>
      </c>
      <c r="P7" s="11"/>
      <c r="Q7" s="11">
        <f t="shared" si="3"/>
        <v>0</v>
      </c>
      <c r="R7" s="11">
        <v>10</v>
      </c>
      <c r="S7" s="11">
        <f t="shared" si="4"/>
        <v>36.6</v>
      </c>
      <c r="T7" s="26">
        <f t="shared" si="8"/>
        <v>47</v>
      </c>
      <c r="U7" s="11">
        <f t="shared" si="9"/>
        <v>172.02</v>
      </c>
      <c r="V7" s="3"/>
    </row>
    <row r="8" spans="1:23">
      <c r="A8" s="11">
        <v>4</v>
      </c>
      <c r="B8" s="64" t="s">
        <v>16</v>
      </c>
      <c r="C8" s="63">
        <v>2.81</v>
      </c>
      <c r="D8" s="66">
        <v>0</v>
      </c>
      <c r="E8" s="11">
        <f>D8*C8</f>
        <v>0</v>
      </c>
      <c r="F8" s="11"/>
      <c r="G8" s="11">
        <f t="shared" si="1"/>
        <v>0</v>
      </c>
      <c r="H8" s="11">
        <v>0</v>
      </c>
      <c r="I8" s="11">
        <f t="shared" si="5"/>
        <v>0</v>
      </c>
      <c r="J8" s="11"/>
      <c r="K8" s="11">
        <f t="shared" si="6"/>
        <v>0</v>
      </c>
      <c r="L8" s="11">
        <v>0</v>
      </c>
      <c r="M8" s="11">
        <f t="shared" si="7"/>
        <v>0</v>
      </c>
      <c r="N8" s="11">
        <v>0</v>
      </c>
      <c r="O8" s="11">
        <f t="shared" si="2"/>
        <v>0</v>
      </c>
      <c r="P8" s="11"/>
      <c r="Q8" s="11">
        <f t="shared" si="3"/>
        <v>0</v>
      </c>
      <c r="R8" s="11">
        <v>0</v>
      </c>
      <c r="S8" s="11">
        <f>R8*C8</f>
        <v>0</v>
      </c>
      <c r="T8" s="26">
        <f t="shared" si="8"/>
        <v>0</v>
      </c>
      <c r="U8" s="11">
        <f t="shared" si="9"/>
        <v>0</v>
      </c>
      <c r="V8" s="3"/>
    </row>
    <row r="9" spans="1:23">
      <c r="A9" s="11">
        <v>5</v>
      </c>
      <c r="B9" s="64" t="s">
        <v>17</v>
      </c>
      <c r="C9" s="63">
        <v>3.46</v>
      </c>
      <c r="D9" s="66">
        <v>0</v>
      </c>
      <c r="E9" s="11">
        <f t="shared" si="0"/>
        <v>0</v>
      </c>
      <c r="F9" s="11"/>
      <c r="G9" s="11">
        <v>0</v>
      </c>
      <c r="H9" s="11">
        <v>0</v>
      </c>
      <c r="I9" s="11">
        <f t="shared" si="5"/>
        <v>0</v>
      </c>
      <c r="J9" s="11"/>
      <c r="K9" s="11">
        <f t="shared" si="6"/>
        <v>0</v>
      </c>
      <c r="L9" s="11">
        <v>6</v>
      </c>
      <c r="M9" s="26">
        <f t="shared" si="7"/>
        <v>20.759999999999998</v>
      </c>
      <c r="N9" s="11">
        <v>5</v>
      </c>
      <c r="O9" s="11">
        <f t="shared" si="2"/>
        <v>17.3</v>
      </c>
      <c r="P9" s="11"/>
      <c r="Q9" s="11">
        <f t="shared" si="3"/>
        <v>0</v>
      </c>
      <c r="R9" s="11">
        <v>0</v>
      </c>
      <c r="S9" s="11">
        <f t="shared" si="4"/>
        <v>0</v>
      </c>
      <c r="T9" s="26">
        <f t="shared" si="8"/>
        <v>11</v>
      </c>
      <c r="U9" s="11">
        <f t="shared" si="9"/>
        <v>38.06</v>
      </c>
      <c r="V9" s="3"/>
    </row>
    <row r="10" spans="1:23">
      <c r="A10" s="11">
        <v>6</v>
      </c>
      <c r="B10" s="64" t="s">
        <v>18</v>
      </c>
      <c r="C10" s="63">
        <v>1.06</v>
      </c>
      <c r="D10" s="66">
        <v>0</v>
      </c>
      <c r="E10" s="11">
        <f t="shared" si="0"/>
        <v>0</v>
      </c>
      <c r="F10" s="11"/>
      <c r="G10" s="11">
        <f t="shared" si="1"/>
        <v>0</v>
      </c>
      <c r="H10" s="11">
        <v>0</v>
      </c>
      <c r="I10" s="11">
        <f t="shared" si="5"/>
        <v>0</v>
      </c>
      <c r="J10" s="11"/>
      <c r="K10" s="11">
        <v>0</v>
      </c>
      <c r="L10" s="11">
        <v>0</v>
      </c>
      <c r="M10" s="26">
        <f t="shared" si="7"/>
        <v>0</v>
      </c>
      <c r="N10" s="11">
        <v>0</v>
      </c>
      <c r="O10" s="11">
        <f t="shared" si="2"/>
        <v>0</v>
      </c>
      <c r="P10" s="11"/>
      <c r="Q10" s="11">
        <f t="shared" si="3"/>
        <v>0</v>
      </c>
      <c r="R10" s="11">
        <v>0</v>
      </c>
      <c r="S10" s="11">
        <f t="shared" si="4"/>
        <v>0</v>
      </c>
      <c r="T10" s="26">
        <f t="shared" si="8"/>
        <v>0</v>
      </c>
      <c r="U10" s="11">
        <f t="shared" si="9"/>
        <v>0</v>
      </c>
      <c r="V10" s="3"/>
    </row>
    <row r="11" spans="1:23">
      <c r="A11" s="11">
        <v>7</v>
      </c>
      <c r="B11" s="64" t="s">
        <v>19</v>
      </c>
      <c r="C11" s="63">
        <v>3.63</v>
      </c>
      <c r="D11" s="66">
        <v>0</v>
      </c>
      <c r="E11" s="11">
        <f t="shared" si="0"/>
        <v>0</v>
      </c>
      <c r="F11" s="11"/>
      <c r="G11" s="11">
        <f t="shared" si="1"/>
        <v>0</v>
      </c>
      <c r="H11" s="11">
        <v>0</v>
      </c>
      <c r="I11" s="11">
        <f t="shared" si="5"/>
        <v>0</v>
      </c>
      <c r="J11" s="11"/>
      <c r="K11" s="11">
        <f t="shared" si="6"/>
        <v>0</v>
      </c>
      <c r="L11" s="11">
        <v>0</v>
      </c>
      <c r="M11" s="26">
        <f t="shared" si="7"/>
        <v>0</v>
      </c>
      <c r="N11" s="11">
        <v>0</v>
      </c>
      <c r="O11" s="11">
        <f t="shared" si="2"/>
        <v>0</v>
      </c>
      <c r="P11" s="11"/>
      <c r="Q11" s="11">
        <f t="shared" si="3"/>
        <v>0</v>
      </c>
      <c r="R11" s="11">
        <v>0</v>
      </c>
      <c r="S11" s="11">
        <f t="shared" si="4"/>
        <v>0</v>
      </c>
      <c r="T11" s="26">
        <f t="shared" si="8"/>
        <v>0</v>
      </c>
      <c r="U11" s="11">
        <f t="shared" si="9"/>
        <v>0</v>
      </c>
      <c r="V11" s="3"/>
    </row>
    <row r="12" spans="1:23">
      <c r="A12" s="11">
        <v>8</v>
      </c>
      <c r="B12" s="64" t="s">
        <v>20</v>
      </c>
      <c r="C12" s="63">
        <v>0.85</v>
      </c>
      <c r="D12" s="66">
        <v>0</v>
      </c>
      <c r="E12" s="11">
        <f t="shared" si="0"/>
        <v>0</v>
      </c>
      <c r="F12" s="11"/>
      <c r="G12" s="11">
        <f t="shared" si="1"/>
        <v>0</v>
      </c>
      <c r="H12" s="11">
        <v>0</v>
      </c>
      <c r="I12" s="11">
        <f t="shared" si="5"/>
        <v>0</v>
      </c>
      <c r="J12" s="11"/>
      <c r="K12" s="11">
        <f t="shared" si="6"/>
        <v>0</v>
      </c>
      <c r="L12" s="11">
        <v>0</v>
      </c>
      <c r="M12" s="26">
        <f t="shared" si="7"/>
        <v>0</v>
      </c>
      <c r="N12" s="11">
        <v>0</v>
      </c>
      <c r="O12" s="11">
        <f t="shared" si="2"/>
        <v>0</v>
      </c>
      <c r="P12" s="11"/>
      <c r="Q12" s="11">
        <f t="shared" si="3"/>
        <v>0</v>
      </c>
      <c r="R12" s="11">
        <v>0</v>
      </c>
      <c r="S12" s="11">
        <f t="shared" si="4"/>
        <v>0</v>
      </c>
      <c r="T12" s="26">
        <f t="shared" si="8"/>
        <v>0</v>
      </c>
      <c r="U12" s="11">
        <f t="shared" si="9"/>
        <v>0</v>
      </c>
      <c r="V12" s="3"/>
    </row>
    <row r="13" spans="1:23" ht="15" customHeight="1">
      <c r="A13" s="11">
        <v>9</v>
      </c>
      <c r="B13" s="64" t="s">
        <v>21</v>
      </c>
      <c r="C13" s="63">
        <v>1.98</v>
      </c>
      <c r="D13" s="66">
        <v>0</v>
      </c>
      <c r="E13" s="11">
        <f t="shared" si="0"/>
        <v>0</v>
      </c>
      <c r="F13" s="11"/>
      <c r="G13" s="11">
        <f t="shared" si="1"/>
        <v>0</v>
      </c>
      <c r="H13" s="11">
        <v>0</v>
      </c>
      <c r="I13" s="11">
        <f t="shared" si="5"/>
        <v>0</v>
      </c>
      <c r="J13" s="11"/>
      <c r="K13" s="11">
        <f t="shared" si="6"/>
        <v>0</v>
      </c>
      <c r="L13" s="11">
        <v>0</v>
      </c>
      <c r="M13" s="26">
        <f t="shared" si="7"/>
        <v>0</v>
      </c>
      <c r="N13" s="11">
        <v>0</v>
      </c>
      <c r="O13" s="11">
        <f t="shared" si="2"/>
        <v>0</v>
      </c>
      <c r="P13" s="11"/>
      <c r="Q13" s="11">
        <f t="shared" si="3"/>
        <v>0</v>
      </c>
      <c r="R13" s="11">
        <v>0</v>
      </c>
      <c r="S13" s="11">
        <f t="shared" si="4"/>
        <v>0</v>
      </c>
      <c r="T13" s="26">
        <f t="shared" si="8"/>
        <v>0</v>
      </c>
      <c r="U13" s="11">
        <f t="shared" si="9"/>
        <v>0</v>
      </c>
      <c r="V13" s="3"/>
    </row>
    <row r="14" spans="1:23">
      <c r="A14" s="11">
        <v>10</v>
      </c>
      <c r="B14" s="65" t="s">
        <v>22</v>
      </c>
      <c r="C14" s="63">
        <v>1.98</v>
      </c>
      <c r="D14" s="66">
        <v>0</v>
      </c>
      <c r="E14" s="11">
        <f t="shared" si="0"/>
        <v>0</v>
      </c>
      <c r="F14" s="11"/>
      <c r="G14" s="11">
        <f t="shared" si="1"/>
        <v>0</v>
      </c>
      <c r="H14" s="11">
        <v>0</v>
      </c>
      <c r="I14" s="11">
        <f t="shared" si="5"/>
        <v>0</v>
      </c>
      <c r="J14" s="11"/>
      <c r="K14" s="11">
        <f t="shared" si="6"/>
        <v>0</v>
      </c>
      <c r="L14" s="11">
        <v>0</v>
      </c>
      <c r="M14" s="26">
        <f t="shared" si="7"/>
        <v>0</v>
      </c>
      <c r="N14" s="11">
        <v>0</v>
      </c>
      <c r="O14" s="11">
        <f t="shared" si="2"/>
        <v>0</v>
      </c>
      <c r="P14" s="11"/>
      <c r="Q14" s="11">
        <f t="shared" si="3"/>
        <v>0</v>
      </c>
      <c r="R14" s="11">
        <v>0</v>
      </c>
      <c r="S14" s="11">
        <f t="shared" si="4"/>
        <v>0</v>
      </c>
      <c r="T14" s="26">
        <f t="shared" si="8"/>
        <v>0</v>
      </c>
      <c r="U14" s="11">
        <f t="shared" si="9"/>
        <v>0</v>
      </c>
      <c r="V14" s="3"/>
    </row>
    <row r="15" spans="1:23" ht="13.5" customHeight="1">
      <c r="A15" s="11">
        <v>11</v>
      </c>
      <c r="B15" s="64" t="s">
        <v>23</v>
      </c>
      <c r="C15" s="63">
        <v>4.6900000000000004</v>
      </c>
      <c r="D15" s="66">
        <v>0</v>
      </c>
      <c r="E15" s="11">
        <f t="shared" si="0"/>
        <v>0</v>
      </c>
      <c r="F15" s="11"/>
      <c r="G15" s="11">
        <f t="shared" si="1"/>
        <v>0</v>
      </c>
      <c r="H15" s="11">
        <v>0</v>
      </c>
      <c r="I15" s="11">
        <f t="shared" si="5"/>
        <v>0</v>
      </c>
      <c r="J15" s="11"/>
      <c r="K15" s="11">
        <f t="shared" si="6"/>
        <v>0</v>
      </c>
      <c r="L15" s="11">
        <v>0</v>
      </c>
      <c r="M15" s="11">
        <f t="shared" si="7"/>
        <v>0</v>
      </c>
      <c r="N15" s="32">
        <v>0</v>
      </c>
      <c r="O15" s="11">
        <f t="shared" si="2"/>
        <v>0</v>
      </c>
      <c r="P15" s="32"/>
      <c r="Q15" s="11">
        <f t="shared" si="3"/>
        <v>0</v>
      </c>
      <c r="R15" s="32">
        <v>0</v>
      </c>
      <c r="S15" s="11">
        <f t="shared" si="4"/>
        <v>0</v>
      </c>
      <c r="T15" s="26">
        <f t="shared" si="8"/>
        <v>0</v>
      </c>
      <c r="U15" s="11">
        <f t="shared" si="9"/>
        <v>0</v>
      </c>
      <c r="V15" s="3"/>
    </row>
    <row r="16" spans="1:23">
      <c r="A16" s="11">
        <v>12</v>
      </c>
      <c r="B16" s="64" t="s">
        <v>24</v>
      </c>
      <c r="C16" s="63">
        <v>2.9</v>
      </c>
      <c r="D16" s="66">
        <v>0</v>
      </c>
      <c r="E16" s="11">
        <f t="shared" si="0"/>
        <v>0</v>
      </c>
      <c r="F16" s="11"/>
      <c r="G16" s="11">
        <f t="shared" si="1"/>
        <v>0</v>
      </c>
      <c r="H16" s="11">
        <v>0</v>
      </c>
      <c r="I16" s="11">
        <f t="shared" si="5"/>
        <v>0</v>
      </c>
      <c r="J16" s="11"/>
      <c r="K16" s="11">
        <f t="shared" si="6"/>
        <v>0</v>
      </c>
      <c r="L16" s="11">
        <v>0</v>
      </c>
      <c r="M16" s="11">
        <f t="shared" si="7"/>
        <v>0</v>
      </c>
      <c r="N16" s="68">
        <v>0</v>
      </c>
      <c r="O16" s="11">
        <f t="shared" si="2"/>
        <v>0</v>
      </c>
      <c r="P16" s="32"/>
      <c r="Q16" s="11">
        <f t="shared" si="3"/>
        <v>0</v>
      </c>
      <c r="R16" s="32">
        <v>0</v>
      </c>
      <c r="S16" s="11">
        <f t="shared" si="4"/>
        <v>0</v>
      </c>
      <c r="T16" s="26">
        <f>D16+F16+H16+J16+L16+N16+P16+R16</f>
        <v>0</v>
      </c>
      <c r="U16" s="11">
        <f t="shared" si="9"/>
        <v>0</v>
      </c>
      <c r="V16" s="3"/>
    </row>
    <row r="17" spans="1:23">
      <c r="A17" s="11">
        <v>13</v>
      </c>
      <c r="B17" s="64" t="s">
        <v>55</v>
      </c>
      <c r="C17" s="63">
        <v>1.9</v>
      </c>
      <c r="D17" s="66">
        <v>0</v>
      </c>
      <c r="E17" s="11">
        <f>D17*C17</f>
        <v>0</v>
      </c>
      <c r="F17" s="14"/>
      <c r="G17" s="11">
        <f>F17*C17</f>
        <v>0</v>
      </c>
      <c r="H17" s="66">
        <v>0</v>
      </c>
      <c r="I17" s="11">
        <f t="shared" si="5"/>
        <v>0</v>
      </c>
      <c r="J17" s="14"/>
      <c r="K17" s="11">
        <f t="shared" si="6"/>
        <v>0</v>
      </c>
      <c r="L17" s="66">
        <v>0</v>
      </c>
      <c r="M17" s="11">
        <f t="shared" si="7"/>
        <v>0</v>
      </c>
      <c r="N17" s="66">
        <v>0</v>
      </c>
      <c r="O17" s="11">
        <f t="shared" si="2"/>
        <v>0</v>
      </c>
      <c r="P17" s="32"/>
      <c r="Q17" s="11">
        <f t="shared" si="3"/>
        <v>0</v>
      </c>
      <c r="R17" s="32">
        <v>0</v>
      </c>
      <c r="S17" s="11">
        <f t="shared" si="4"/>
        <v>0</v>
      </c>
      <c r="T17" s="26">
        <v>0</v>
      </c>
      <c r="U17" s="11">
        <f t="shared" si="9"/>
        <v>0</v>
      </c>
      <c r="V17" s="3"/>
    </row>
    <row r="18" spans="1:23">
      <c r="A18" s="11">
        <v>14</v>
      </c>
      <c r="B18" s="64" t="s">
        <v>56</v>
      </c>
      <c r="C18" s="63">
        <v>2.4</v>
      </c>
      <c r="D18" s="66">
        <v>0</v>
      </c>
      <c r="E18" s="11">
        <f>D18*C18</f>
        <v>0</v>
      </c>
      <c r="F18" s="14"/>
      <c r="G18" s="11">
        <f>F18*C18</f>
        <v>0</v>
      </c>
      <c r="H18" s="66">
        <v>0</v>
      </c>
      <c r="I18" s="11">
        <f t="shared" si="5"/>
        <v>0</v>
      </c>
      <c r="J18" s="14"/>
      <c r="K18" s="11">
        <f t="shared" si="6"/>
        <v>0</v>
      </c>
      <c r="L18" s="66">
        <v>0</v>
      </c>
      <c r="M18" s="11">
        <f t="shared" si="7"/>
        <v>0</v>
      </c>
      <c r="N18" s="66">
        <v>0</v>
      </c>
      <c r="O18" s="11">
        <f t="shared" si="2"/>
        <v>0</v>
      </c>
      <c r="P18" s="32"/>
      <c r="Q18" s="11">
        <f t="shared" si="3"/>
        <v>0</v>
      </c>
      <c r="R18" s="32">
        <v>0</v>
      </c>
      <c r="S18" s="11">
        <f t="shared" si="4"/>
        <v>0</v>
      </c>
      <c r="T18" s="26">
        <v>0</v>
      </c>
      <c r="U18" s="11">
        <f t="shared" si="9"/>
        <v>0</v>
      </c>
      <c r="V18" s="3"/>
    </row>
    <row r="19" spans="1:23" ht="17.5" customHeight="1">
      <c r="A19" s="11">
        <v>15</v>
      </c>
      <c r="B19" s="64" t="s">
        <v>25</v>
      </c>
      <c r="C19" s="63">
        <v>1.5</v>
      </c>
      <c r="D19" s="67">
        <v>0</v>
      </c>
      <c r="E19" s="11">
        <f t="shared" si="0"/>
        <v>0</v>
      </c>
      <c r="F19" s="32"/>
      <c r="G19" s="11">
        <f t="shared" si="1"/>
        <v>0</v>
      </c>
      <c r="H19" s="68">
        <v>0</v>
      </c>
      <c r="I19" s="11">
        <f t="shared" si="5"/>
        <v>0</v>
      </c>
      <c r="J19" s="32"/>
      <c r="K19" s="11">
        <f>J19*C19</f>
        <v>0</v>
      </c>
      <c r="L19" s="68">
        <v>0</v>
      </c>
      <c r="M19" s="11">
        <f t="shared" si="7"/>
        <v>0</v>
      </c>
      <c r="N19" s="68">
        <v>0</v>
      </c>
      <c r="O19" s="11">
        <f t="shared" si="2"/>
        <v>0</v>
      </c>
      <c r="P19" s="32"/>
      <c r="Q19" s="11">
        <f t="shared" si="3"/>
        <v>0</v>
      </c>
      <c r="R19" s="32">
        <v>0</v>
      </c>
      <c r="S19" s="11">
        <f t="shared" si="4"/>
        <v>0</v>
      </c>
      <c r="T19" s="26">
        <f t="shared" si="8"/>
        <v>0</v>
      </c>
      <c r="U19" s="11">
        <f t="shared" si="9"/>
        <v>0</v>
      </c>
      <c r="V19" s="3"/>
    </row>
    <row r="20" spans="1:23">
      <c r="A20" s="11">
        <v>16</v>
      </c>
      <c r="B20" s="64" t="s">
        <v>58</v>
      </c>
      <c r="C20" s="63">
        <v>5.38</v>
      </c>
      <c r="D20" s="66">
        <v>0</v>
      </c>
      <c r="E20" s="11">
        <f>D20*C20</f>
        <v>0</v>
      </c>
      <c r="F20" s="14"/>
      <c r="G20" s="11">
        <f>F20*C20</f>
        <v>0</v>
      </c>
      <c r="H20" s="66">
        <v>0</v>
      </c>
      <c r="I20" s="11">
        <f t="shared" si="5"/>
        <v>0</v>
      </c>
      <c r="J20" s="14"/>
      <c r="K20" s="11">
        <f t="shared" si="6"/>
        <v>0</v>
      </c>
      <c r="L20" s="66">
        <v>0</v>
      </c>
      <c r="M20" s="26">
        <f t="shared" si="7"/>
        <v>0</v>
      </c>
      <c r="N20" s="66">
        <v>0</v>
      </c>
      <c r="O20" s="11">
        <f t="shared" si="2"/>
        <v>0</v>
      </c>
      <c r="P20" s="32"/>
      <c r="Q20" s="11">
        <f t="shared" si="3"/>
        <v>0</v>
      </c>
      <c r="R20" s="32">
        <v>0</v>
      </c>
      <c r="S20" s="11">
        <f t="shared" si="4"/>
        <v>0</v>
      </c>
      <c r="T20" s="26">
        <f t="shared" si="8"/>
        <v>0</v>
      </c>
      <c r="U20" s="11">
        <f t="shared" si="9"/>
        <v>0</v>
      </c>
      <c r="V20" s="3"/>
    </row>
    <row r="21" spans="1:23" ht="15" thickBot="1">
      <c r="A21" s="11">
        <v>17</v>
      </c>
      <c r="B21" s="64" t="s">
        <v>59</v>
      </c>
      <c r="C21" s="63">
        <v>2</v>
      </c>
      <c r="D21" s="67">
        <v>0</v>
      </c>
      <c r="E21" s="11">
        <f>D21*C21</f>
        <v>0</v>
      </c>
      <c r="F21" s="32"/>
      <c r="G21" s="11">
        <f>F21*A21</f>
        <v>0</v>
      </c>
      <c r="H21" s="68">
        <v>0</v>
      </c>
      <c r="I21" s="11">
        <f t="shared" si="5"/>
        <v>0</v>
      </c>
      <c r="J21" s="32"/>
      <c r="K21" s="11">
        <f t="shared" si="6"/>
        <v>0</v>
      </c>
      <c r="L21" s="69">
        <v>0</v>
      </c>
      <c r="M21" s="26">
        <f>L21*C21</f>
        <v>0</v>
      </c>
      <c r="N21" s="70">
        <v>0</v>
      </c>
      <c r="O21" s="26">
        <f t="shared" si="2"/>
        <v>0</v>
      </c>
      <c r="P21" s="32"/>
      <c r="Q21" s="11">
        <f t="shared" si="3"/>
        <v>0</v>
      </c>
      <c r="R21" s="32">
        <v>0</v>
      </c>
      <c r="S21" s="11">
        <f t="shared" si="4"/>
        <v>0</v>
      </c>
      <c r="T21" s="26">
        <f t="shared" si="8"/>
        <v>0</v>
      </c>
      <c r="U21" s="11">
        <f t="shared" si="9"/>
        <v>0</v>
      </c>
      <c r="V21" s="3"/>
    </row>
    <row r="22" spans="1:23" ht="17.5" customHeight="1" thickBot="1">
      <c r="A22" s="16"/>
      <c r="B22" s="17" t="s">
        <v>6</v>
      </c>
      <c r="C22" s="17"/>
      <c r="D22" s="17"/>
      <c r="E22" s="17">
        <f>SUM(E5:E21)</f>
        <v>875.74</v>
      </c>
      <c r="F22" s="17"/>
      <c r="G22" s="17">
        <f>SUM(G5:G19)</f>
        <v>0</v>
      </c>
      <c r="H22" s="17"/>
      <c r="I22" s="17">
        <f>SUM(I5:I21)</f>
        <v>0</v>
      </c>
      <c r="J22" s="17"/>
      <c r="K22" s="17">
        <f>SUM(K5:K19)</f>
        <v>0</v>
      </c>
      <c r="L22" s="17"/>
      <c r="M22" s="17">
        <f>SUM(M5:M21)</f>
        <v>64.680000000000007</v>
      </c>
      <c r="N22" s="17"/>
      <c r="O22" s="17">
        <f>SUM(O5:O21)</f>
        <v>560.96</v>
      </c>
      <c r="P22" s="17"/>
      <c r="Q22" s="17">
        <f>SUM(Q5:Q19)</f>
        <v>0</v>
      </c>
      <c r="R22" s="17"/>
      <c r="S22" s="17">
        <f>SUM(S5:S21)</f>
        <v>511.8</v>
      </c>
      <c r="T22" s="17"/>
      <c r="U22" s="17">
        <f>SUM(U5:U21)</f>
        <v>2013.1799999999998</v>
      </c>
      <c r="V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 t="s">
        <v>26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</sheetData>
  <mergeCells count="9">
    <mergeCell ref="N3:O3"/>
    <mergeCell ref="P3:Q3"/>
    <mergeCell ref="R3:S3"/>
    <mergeCell ref="T3:U3"/>
    <mergeCell ref="D3:E3"/>
    <mergeCell ref="F3:G3"/>
    <mergeCell ref="H3:I3"/>
    <mergeCell ref="J3:K3"/>
    <mergeCell ref="L3:M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zoomScale="86" zoomScaleNormal="86" workbookViewId="0">
      <pane xSplit="3" topLeftCell="L1" activePane="topRight" state="frozen"/>
      <selection pane="topRight" activeCell="A17" sqref="A17:XFD17"/>
    </sheetView>
  </sheetViews>
  <sheetFormatPr baseColWidth="10" defaultColWidth="14.453125" defaultRowHeight="14.5"/>
  <cols>
    <col min="1" max="1" width="4.54296875" style="22" customWidth="1"/>
    <col min="2" max="2" width="22.54296875" style="22" customWidth="1"/>
    <col min="3" max="3" width="10.1796875" style="22" customWidth="1"/>
    <col min="4" max="21" width="9.54296875" style="22" customWidth="1"/>
    <col min="22" max="16384" width="14.453125" style="22"/>
  </cols>
  <sheetData>
    <row r="1" spans="1:2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3" ht="15" thickBot="1">
      <c r="A2" s="1" t="s">
        <v>0</v>
      </c>
      <c r="B2" s="2">
        <v>45597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ht="15" customHeight="1">
      <c r="A3" s="4"/>
      <c r="B3" s="5"/>
      <c r="C3" s="6"/>
      <c r="D3" s="73" t="s">
        <v>27</v>
      </c>
      <c r="E3" s="74"/>
      <c r="F3" s="71" t="s">
        <v>28</v>
      </c>
      <c r="G3" s="72"/>
      <c r="H3" s="71" t="s">
        <v>29</v>
      </c>
      <c r="I3" s="72"/>
      <c r="J3" s="71" t="s">
        <v>30</v>
      </c>
      <c r="K3" s="72"/>
      <c r="L3" s="71" t="s">
        <v>31</v>
      </c>
      <c r="M3" s="72"/>
      <c r="N3" s="71" t="s">
        <v>32</v>
      </c>
      <c r="O3" s="72"/>
      <c r="P3" s="71" t="s">
        <v>34</v>
      </c>
      <c r="Q3" s="77"/>
      <c r="R3" s="71" t="s">
        <v>6</v>
      </c>
      <c r="S3" s="72"/>
      <c r="T3" s="78" t="s">
        <v>53</v>
      </c>
      <c r="U3" s="79"/>
      <c r="V3" s="78" t="s">
        <v>53</v>
      </c>
      <c r="W3" s="79"/>
    </row>
    <row r="4" spans="1:23">
      <c r="A4" s="8"/>
      <c r="B4" s="9" t="s">
        <v>7</v>
      </c>
      <c r="C4" s="9" t="s">
        <v>8</v>
      </c>
      <c r="D4" s="10" t="s">
        <v>9</v>
      </c>
      <c r="E4" s="10" t="s">
        <v>10</v>
      </c>
      <c r="F4" s="18" t="s">
        <v>11</v>
      </c>
      <c r="G4" s="19" t="s">
        <v>12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40" t="s">
        <v>11</v>
      </c>
      <c r="U4" s="41" t="s">
        <v>12</v>
      </c>
    </row>
    <row r="5" spans="1:23">
      <c r="A5" s="11">
        <v>1</v>
      </c>
      <c r="B5" s="12" t="s">
        <v>13</v>
      </c>
      <c r="C5" s="13">
        <v>0.99</v>
      </c>
      <c r="D5" s="14">
        <f>'BAMAKO POOL-LABOREX'!D5+'BAMAKO POOL-UBIPHARM'!D5+'BAMAKO POOL-AFRICALA'!D5+'BAMAKO POOL-CAMED &amp;TEDIS&amp;AFRICA'!D5</f>
        <v>774</v>
      </c>
      <c r="E5" s="11">
        <f>D5*C5</f>
        <v>766.26</v>
      </c>
      <c r="F5" s="14">
        <f>'BAMAKO POOL-LABOREX'!F5+'BAMAKO POOL-UBIPHARM'!F5+'BAMAKO POOL-AFRICALA'!F5+'BAMAKO POOL-CAMED &amp;TEDIS&amp;AFRICA'!F5</f>
        <v>114</v>
      </c>
      <c r="G5" s="11">
        <f>F5*C5</f>
        <v>112.86</v>
      </c>
      <c r="H5" s="14">
        <f>'BAMAKO POOL-LABOREX'!H5+'BAMAKO POOL-UBIPHARM'!H5+'BAMAKO POOL-AFRICALA'!H5+'BAMAKO POOL-CAMED &amp;TEDIS&amp;AFRICA'!H5</f>
        <v>833</v>
      </c>
      <c r="I5" s="11">
        <f>H5*C5</f>
        <v>824.67</v>
      </c>
      <c r="J5" s="14">
        <f>'BAMAKO POOL-LABOREX'!J5+'BAMAKO POOL-UBIPHARM'!J5+'BAMAKO POOL-AFRICALA'!J5+'BAMAKO POOL-CAMED &amp;TEDIS&amp;AFRICA'!J5</f>
        <v>317</v>
      </c>
      <c r="K5" s="11">
        <f>J5*C5</f>
        <v>313.83</v>
      </c>
      <c r="L5" s="14">
        <f>'BAMAKO POOL-LABOREX'!L5+'BAMAKO POOL-UBIPHARM'!L5+'BAMAKO POOL-AFRICALA'!L5+'BAMAKO POOL-CAMED &amp;TEDIS&amp;AFRICA'!L5</f>
        <v>1633</v>
      </c>
      <c r="M5" s="11">
        <f>L5*C5</f>
        <v>1616.67</v>
      </c>
      <c r="N5" s="14">
        <f>'BAMAKO POOL-LABOREX'!N5+'BAMAKO POOL-UBIPHARM'!N5+'BAMAKO POOL-AFRICALA'!N5+'BAMAKO POOL-CAMED &amp;TEDIS&amp;AFRICA'!N5</f>
        <v>4452</v>
      </c>
      <c r="O5" s="11">
        <f>N5*C5</f>
        <v>4407.4799999999996</v>
      </c>
      <c r="P5" s="14">
        <f>'BAMAKO POOL-LABOREX'!R5+'BAMAKO POOL-UBIPHARM'!R5+'BAMAKO POOL-AFRICALA'!R5+'BAMAKO POOL-CAMED &amp;TEDIS&amp;AFRICA'!R5</f>
        <v>5001</v>
      </c>
      <c r="Q5" s="11">
        <f t="shared" ref="Q5:Q19" si="0">P5*C5</f>
        <v>4950.99</v>
      </c>
      <c r="R5" s="26">
        <f>D5+F5+H5+J5+L5+N5++P5</f>
        <v>13124</v>
      </c>
      <c r="S5" s="11">
        <f t="shared" ref="S5:S19" si="1">R5*C5</f>
        <v>12992.76</v>
      </c>
      <c r="T5" s="42">
        <f>D5+F5+H5+J5+L5+N5</f>
        <v>8123</v>
      </c>
      <c r="U5" s="43">
        <f>T5*$C5</f>
        <v>8041.7699999999995</v>
      </c>
      <c r="V5" s="22">
        <f>S5/5</f>
        <v>2598.5520000000001</v>
      </c>
      <c r="W5" s="22">
        <f>U5/4</f>
        <v>2010.4424999999999</v>
      </c>
    </row>
    <row r="6" spans="1:23">
      <c r="A6" s="11">
        <v>2</v>
      </c>
      <c r="B6" s="12" t="s">
        <v>14</v>
      </c>
      <c r="C6" s="13">
        <v>2.29</v>
      </c>
      <c r="D6" s="14">
        <f>'BAMAKO POOL-LABOREX'!D6+'BAMAKO POOL-UBIPHARM'!D6+'BAMAKO POOL-AFRICALA'!D6+'BAMAKO POOL-CAMED &amp;TEDIS&amp;AFRICA'!D6</f>
        <v>188</v>
      </c>
      <c r="E6" s="11">
        <f t="shared" ref="E6:E19" si="2">D6*C6</f>
        <v>430.52</v>
      </c>
      <c r="F6" s="14">
        <f>'BAMAKO POOL-LABOREX'!F6+'BAMAKO POOL-UBIPHARM'!F6+'BAMAKO POOL-AFRICALA'!F6+'BAMAKO POOL-CAMED &amp;TEDIS&amp;AFRICA'!F6</f>
        <v>70</v>
      </c>
      <c r="G6" s="11">
        <f t="shared" ref="G6:G19" si="3">F6*C6</f>
        <v>160.30000000000001</v>
      </c>
      <c r="H6" s="14">
        <f>'BAMAKO POOL-LABOREX'!H6+'BAMAKO POOL-UBIPHARM'!H6+'BAMAKO POOL-AFRICALA'!H6+'BAMAKO POOL-CAMED &amp;TEDIS&amp;AFRICA'!H6</f>
        <v>65</v>
      </c>
      <c r="I6" s="11">
        <f t="shared" ref="I6:I19" si="4">H6*C6</f>
        <v>148.85</v>
      </c>
      <c r="J6" s="14">
        <f>'BAMAKO POOL-LABOREX'!J6+'BAMAKO POOL-UBIPHARM'!J6+'BAMAKO POOL-AFRICALA'!J6+'BAMAKO POOL-CAMED &amp;TEDIS&amp;AFRICA'!J6</f>
        <v>58</v>
      </c>
      <c r="K6" s="11">
        <f t="shared" ref="K6:K19" si="5">J6*C6</f>
        <v>132.82</v>
      </c>
      <c r="L6" s="14">
        <f>'BAMAKO POOL-LABOREX'!L6+'BAMAKO POOL-UBIPHARM'!L6+'BAMAKO POOL-AFRICALA'!L6+'BAMAKO POOL-CAMED &amp;TEDIS&amp;AFRICA'!L6</f>
        <v>83</v>
      </c>
      <c r="M6" s="11">
        <f t="shared" ref="M6:M19" si="6">L6*C6</f>
        <v>190.07</v>
      </c>
      <c r="N6" s="14">
        <f>'BAMAKO POOL-LABOREX'!N6+'BAMAKO POOL-UBIPHARM'!N6+'BAMAKO POOL-AFRICALA'!N6+'BAMAKO POOL-CAMED &amp;TEDIS&amp;AFRICA'!N6</f>
        <v>168</v>
      </c>
      <c r="O6" s="11">
        <f t="shared" ref="O6:O19" si="7">N6*C6</f>
        <v>384.72</v>
      </c>
      <c r="P6" s="14">
        <f>'BAMAKO POOL-LABOREX'!R6+'BAMAKO POOL-UBIPHARM'!R6+'BAMAKO POOL-AFRICALA'!R6+'BAMAKO POOL-CAMED &amp;TEDIS&amp;AFRICA'!R6</f>
        <v>32</v>
      </c>
      <c r="Q6" s="11">
        <f t="shared" si="0"/>
        <v>73.28</v>
      </c>
      <c r="R6" s="26">
        <f>D6+F6+H6+J6+L6+N6++P6</f>
        <v>664</v>
      </c>
      <c r="S6" s="11">
        <f t="shared" si="1"/>
        <v>1520.56</v>
      </c>
      <c r="T6" s="42">
        <f>D6+F6+H6+J6+L6+N6</f>
        <v>632</v>
      </c>
      <c r="U6" s="43">
        <f t="shared" ref="U6:U19" si="8">T6*$C6</f>
        <v>1447.28</v>
      </c>
      <c r="V6" s="22">
        <f t="shared" ref="V6:V19" si="9">S6/5</f>
        <v>304.11199999999997</v>
      </c>
      <c r="W6" s="22">
        <f t="shared" ref="W6:W19" si="10">U6/4</f>
        <v>361.82</v>
      </c>
    </row>
    <row r="7" spans="1:23">
      <c r="A7" s="11">
        <v>3</v>
      </c>
      <c r="B7" s="12" t="s">
        <v>15</v>
      </c>
      <c r="C7" s="13">
        <v>3.66</v>
      </c>
      <c r="D7" s="14">
        <f>'BAMAKO POOL-LABOREX'!D7+'BAMAKO POOL-UBIPHARM'!D7+'BAMAKO POOL-AFRICALA'!D7+'BAMAKO POOL-CAMED &amp;TEDIS&amp;AFRICA'!D7</f>
        <v>82</v>
      </c>
      <c r="E7" s="11">
        <f t="shared" si="2"/>
        <v>300.12</v>
      </c>
      <c r="F7" s="14">
        <f>'BAMAKO POOL-LABOREX'!F7+'BAMAKO POOL-UBIPHARM'!F7+'BAMAKO POOL-AFRICALA'!F7+'BAMAKO POOL-CAMED &amp;TEDIS&amp;AFRICA'!F7</f>
        <v>8</v>
      </c>
      <c r="G7" s="11">
        <f t="shared" si="3"/>
        <v>29.28</v>
      </c>
      <c r="H7" s="14">
        <f>'BAMAKO POOL-LABOREX'!H7+'BAMAKO POOL-UBIPHARM'!H7+'BAMAKO POOL-AFRICALA'!H7+'BAMAKO POOL-CAMED &amp;TEDIS&amp;AFRICA'!H7</f>
        <v>88</v>
      </c>
      <c r="I7" s="11">
        <f t="shared" si="4"/>
        <v>322.08000000000004</v>
      </c>
      <c r="J7" s="14">
        <f>'BAMAKO POOL-LABOREX'!J7+'BAMAKO POOL-UBIPHARM'!J7+'BAMAKO POOL-AFRICALA'!J7+'BAMAKO POOL-CAMED &amp;TEDIS&amp;AFRICA'!J7</f>
        <v>8</v>
      </c>
      <c r="K7" s="11">
        <f t="shared" si="5"/>
        <v>29.28</v>
      </c>
      <c r="L7" s="14">
        <f>'BAMAKO POOL-LABOREX'!L7+'BAMAKO POOL-UBIPHARM'!L7+'BAMAKO POOL-AFRICALA'!L7+'BAMAKO POOL-CAMED &amp;TEDIS&amp;AFRICA'!L7</f>
        <v>160</v>
      </c>
      <c r="M7" s="11">
        <f t="shared" si="6"/>
        <v>585.6</v>
      </c>
      <c r="N7" s="14">
        <f>'BAMAKO POOL-LABOREX'!N7+'BAMAKO POOL-UBIPHARM'!N7+'BAMAKO POOL-AFRICALA'!N7+'BAMAKO POOL-CAMED &amp;TEDIS&amp;AFRICA'!N7</f>
        <v>177</v>
      </c>
      <c r="O7" s="11">
        <f t="shared" si="7"/>
        <v>647.82000000000005</v>
      </c>
      <c r="P7" s="14">
        <f>'BAMAKO POOL-LABOREX'!R7+'BAMAKO POOL-UBIPHARM'!R7+'BAMAKO POOL-AFRICALA'!R7+'BAMAKO POOL-CAMED &amp;TEDIS&amp;AFRICA'!R7</f>
        <v>114</v>
      </c>
      <c r="Q7" s="11">
        <f t="shared" si="0"/>
        <v>417.24</v>
      </c>
      <c r="R7" s="26">
        <f t="shared" ref="R7:R19" si="11">D7+F7+H7+J7+L7+N7++P7</f>
        <v>637</v>
      </c>
      <c r="S7" s="11">
        <f t="shared" si="1"/>
        <v>2331.42</v>
      </c>
      <c r="T7" s="42">
        <f t="shared" ref="T7:T18" si="12">D7+F7+H7+J7+L7+N7</f>
        <v>523</v>
      </c>
      <c r="U7" s="43">
        <f t="shared" si="8"/>
        <v>1914.18</v>
      </c>
      <c r="V7" s="22">
        <f t="shared" si="9"/>
        <v>466.28399999999999</v>
      </c>
      <c r="W7" s="22">
        <f t="shared" si="10"/>
        <v>478.54500000000002</v>
      </c>
    </row>
    <row r="8" spans="1:23">
      <c r="A8" s="11">
        <v>4</v>
      </c>
      <c r="B8" s="12" t="s">
        <v>16</v>
      </c>
      <c r="C8" s="13">
        <v>2.81</v>
      </c>
      <c r="D8" s="14">
        <f>'BAMAKO POOL-LABOREX'!D8+'BAMAKO POOL-UBIPHARM'!D8+'BAMAKO POOL-AFRICALA'!D8+'BAMAKO POOL-CAMED &amp;TEDIS&amp;AFRICA'!D8</f>
        <v>38</v>
      </c>
      <c r="E8" s="11">
        <f t="shared" si="2"/>
        <v>106.78</v>
      </c>
      <c r="F8" s="14">
        <f>'BAMAKO POOL-LABOREX'!F8+'BAMAKO POOL-UBIPHARM'!F8+'BAMAKO POOL-AFRICALA'!F8+'BAMAKO POOL-CAMED &amp;TEDIS&amp;AFRICA'!F8</f>
        <v>21</v>
      </c>
      <c r="G8" s="11">
        <f t="shared" si="3"/>
        <v>59.01</v>
      </c>
      <c r="H8" s="14">
        <f>'BAMAKO POOL-LABOREX'!H8+'BAMAKO POOL-UBIPHARM'!H8+'BAMAKO POOL-AFRICALA'!H8+'BAMAKO POOL-CAMED &amp;TEDIS&amp;AFRICA'!H8</f>
        <v>41</v>
      </c>
      <c r="I8" s="11">
        <f t="shared" si="4"/>
        <v>115.21000000000001</v>
      </c>
      <c r="J8" s="14">
        <f>'BAMAKO POOL-LABOREX'!J8+'BAMAKO POOL-UBIPHARM'!J8+'BAMAKO POOL-AFRICALA'!J8+'BAMAKO POOL-CAMED &amp;TEDIS&amp;AFRICA'!J8</f>
        <v>25</v>
      </c>
      <c r="K8" s="11">
        <f t="shared" si="5"/>
        <v>70.25</v>
      </c>
      <c r="L8" s="14">
        <f>'BAMAKO POOL-LABOREX'!L8+'BAMAKO POOL-UBIPHARM'!L8+'BAMAKO POOL-AFRICALA'!L8+'BAMAKO POOL-CAMED &amp;TEDIS&amp;AFRICA'!L8</f>
        <v>19</v>
      </c>
      <c r="M8" s="11">
        <f t="shared" si="6"/>
        <v>53.39</v>
      </c>
      <c r="N8" s="14">
        <f>'BAMAKO POOL-LABOREX'!N8+'BAMAKO POOL-UBIPHARM'!N8+'BAMAKO POOL-AFRICALA'!N8+'BAMAKO POOL-CAMED &amp;TEDIS&amp;AFRICA'!N8</f>
        <v>25</v>
      </c>
      <c r="O8" s="11">
        <f t="shared" si="7"/>
        <v>70.25</v>
      </c>
      <c r="P8" s="14">
        <f>'BAMAKO POOL-LABOREX'!R8+'BAMAKO POOL-UBIPHARM'!R8+'BAMAKO POOL-AFRICALA'!R8+'BAMAKO POOL-CAMED &amp;TEDIS&amp;AFRICA'!R8</f>
        <v>32</v>
      </c>
      <c r="Q8" s="11">
        <f t="shared" si="0"/>
        <v>89.92</v>
      </c>
      <c r="R8" s="26">
        <f t="shared" si="11"/>
        <v>201</v>
      </c>
      <c r="S8" s="11">
        <f t="shared" si="1"/>
        <v>564.81000000000006</v>
      </c>
      <c r="T8" s="42">
        <f t="shared" si="12"/>
        <v>169</v>
      </c>
      <c r="U8" s="43">
        <f t="shared" si="8"/>
        <v>474.89</v>
      </c>
      <c r="V8" s="22">
        <f t="shared" si="9"/>
        <v>112.96200000000002</v>
      </c>
      <c r="W8" s="22">
        <f t="shared" si="10"/>
        <v>118.7225</v>
      </c>
    </row>
    <row r="9" spans="1:23">
      <c r="A9" s="11">
        <v>5</v>
      </c>
      <c r="B9" s="12" t="s">
        <v>17</v>
      </c>
      <c r="C9" s="13">
        <v>3.46</v>
      </c>
      <c r="D9" s="14">
        <f>'BAMAKO POOL-LABOREX'!D9+'BAMAKO POOL-UBIPHARM'!D9+'BAMAKO POOL-AFRICALA'!D9+'BAMAKO POOL-CAMED &amp;TEDIS&amp;AFRICA'!D9</f>
        <v>43</v>
      </c>
      <c r="E9" s="11">
        <f t="shared" si="2"/>
        <v>148.78</v>
      </c>
      <c r="F9" s="14">
        <f>'BAMAKO POOL-LABOREX'!F9+'BAMAKO POOL-UBIPHARM'!F9+'BAMAKO POOL-AFRICALA'!F9+'BAMAKO POOL-CAMED &amp;TEDIS&amp;AFRICA'!F9</f>
        <v>35</v>
      </c>
      <c r="G9" s="11">
        <f t="shared" si="3"/>
        <v>121.1</v>
      </c>
      <c r="H9" s="14">
        <f>'BAMAKO POOL-LABOREX'!H9+'BAMAKO POOL-UBIPHARM'!H9+'BAMAKO POOL-AFRICALA'!H9+'BAMAKO POOL-CAMED &amp;TEDIS&amp;AFRICA'!H9</f>
        <v>57</v>
      </c>
      <c r="I9" s="11">
        <f t="shared" si="4"/>
        <v>197.22</v>
      </c>
      <c r="J9" s="14">
        <f>'BAMAKO POOL-LABOREX'!J9+'BAMAKO POOL-UBIPHARM'!J9+'BAMAKO POOL-AFRICALA'!J9+'BAMAKO POOL-CAMED &amp;TEDIS&amp;AFRICA'!J9</f>
        <v>36</v>
      </c>
      <c r="K9" s="11">
        <f t="shared" si="5"/>
        <v>124.56</v>
      </c>
      <c r="L9" s="14">
        <f>'BAMAKO POOL-LABOREX'!L9+'BAMAKO POOL-UBIPHARM'!L9+'BAMAKO POOL-AFRICALA'!L9+'BAMAKO POOL-CAMED &amp;TEDIS&amp;AFRICA'!L9</f>
        <v>80</v>
      </c>
      <c r="M9" s="11">
        <f t="shared" si="6"/>
        <v>276.8</v>
      </c>
      <c r="N9" s="14">
        <f>'BAMAKO POOL-LABOREX'!N9+'BAMAKO POOL-UBIPHARM'!N9+'BAMAKO POOL-AFRICALA'!N9+'BAMAKO POOL-CAMED &amp;TEDIS&amp;AFRICA'!N9</f>
        <v>97</v>
      </c>
      <c r="O9" s="11">
        <f t="shared" si="7"/>
        <v>335.62</v>
      </c>
      <c r="P9" s="14">
        <f>'BAMAKO POOL-LABOREX'!R9+'BAMAKO POOL-UBIPHARM'!R9+'BAMAKO POOL-AFRICALA'!R9+'BAMAKO POOL-CAMED &amp;TEDIS&amp;AFRICA'!R9</f>
        <v>75</v>
      </c>
      <c r="Q9" s="11">
        <f t="shared" si="0"/>
        <v>259.5</v>
      </c>
      <c r="R9" s="26">
        <f t="shared" si="11"/>
        <v>423</v>
      </c>
      <c r="S9" s="11">
        <f t="shared" si="1"/>
        <v>1463.58</v>
      </c>
      <c r="T9" s="42">
        <f t="shared" si="12"/>
        <v>348</v>
      </c>
      <c r="U9" s="43">
        <f t="shared" si="8"/>
        <v>1204.08</v>
      </c>
      <c r="V9" s="22">
        <f t="shared" si="9"/>
        <v>292.71600000000001</v>
      </c>
      <c r="W9" s="22">
        <f t="shared" si="10"/>
        <v>301.02</v>
      </c>
    </row>
    <row r="10" spans="1:23">
      <c r="A10" s="11">
        <v>6</v>
      </c>
      <c r="B10" s="12" t="s">
        <v>18</v>
      </c>
      <c r="C10" s="13">
        <v>1.06</v>
      </c>
      <c r="D10" s="14">
        <f>'BAMAKO POOL-LABOREX'!D10+'BAMAKO POOL-UBIPHARM'!D10+'BAMAKO POOL-AFRICALA'!D10+'BAMAKO POOL-CAMED &amp;TEDIS&amp;AFRICA'!D10</f>
        <v>0</v>
      </c>
      <c r="E10" s="11">
        <f t="shared" si="2"/>
        <v>0</v>
      </c>
      <c r="F10" s="14">
        <f>'BAMAKO POOL-LABOREX'!F10+'BAMAKO POOL-UBIPHARM'!F10+'BAMAKO POOL-AFRICALA'!F10+'BAMAKO POOL-CAMED &amp;TEDIS&amp;AFRICA'!F10</f>
        <v>0</v>
      </c>
      <c r="G10" s="11">
        <f t="shared" si="3"/>
        <v>0</v>
      </c>
      <c r="H10" s="14">
        <f>'BAMAKO POOL-LABOREX'!H10+'BAMAKO POOL-UBIPHARM'!H10+'BAMAKO POOL-AFRICALA'!H10+'BAMAKO POOL-CAMED &amp;TEDIS&amp;AFRICA'!H10</f>
        <v>0</v>
      </c>
      <c r="I10" s="11">
        <f t="shared" si="4"/>
        <v>0</v>
      </c>
      <c r="J10" s="14">
        <f>'BAMAKO POOL-LABOREX'!J10+'BAMAKO POOL-UBIPHARM'!J10+'BAMAKO POOL-AFRICALA'!J10+'BAMAKO POOL-CAMED &amp;TEDIS&amp;AFRICA'!J10</f>
        <v>0</v>
      </c>
      <c r="K10" s="11">
        <f t="shared" si="5"/>
        <v>0</v>
      </c>
      <c r="L10" s="14">
        <f>'BAMAKO POOL-LABOREX'!L10+'BAMAKO POOL-UBIPHARM'!L10+'BAMAKO POOL-AFRICALA'!L10+'BAMAKO POOL-CAMED &amp;TEDIS&amp;AFRICA'!L10</f>
        <v>0</v>
      </c>
      <c r="M10" s="11">
        <f t="shared" si="6"/>
        <v>0</v>
      </c>
      <c r="N10" s="14">
        <f>'BAMAKO POOL-LABOREX'!N10+'BAMAKO POOL-UBIPHARM'!N10+'BAMAKO POOL-AFRICALA'!N10+'BAMAKO POOL-CAMED &amp;TEDIS&amp;AFRICA'!N10</f>
        <v>0</v>
      </c>
      <c r="O10" s="11">
        <f t="shared" si="7"/>
        <v>0</v>
      </c>
      <c r="P10" s="14">
        <f>'BAMAKO POOL-LABOREX'!R10+'BAMAKO POOL-UBIPHARM'!R10+'BAMAKO POOL-AFRICALA'!R10+'BAMAKO POOL-CAMED &amp;TEDIS&amp;AFRICA'!R10</f>
        <v>0</v>
      </c>
      <c r="Q10" s="11">
        <f t="shared" si="0"/>
        <v>0</v>
      </c>
      <c r="R10" s="26">
        <f t="shared" si="11"/>
        <v>0</v>
      </c>
      <c r="S10" s="11">
        <f t="shared" si="1"/>
        <v>0</v>
      </c>
      <c r="T10" s="42">
        <f t="shared" si="12"/>
        <v>0</v>
      </c>
      <c r="U10" s="43">
        <f t="shared" si="8"/>
        <v>0</v>
      </c>
      <c r="V10" s="22">
        <f t="shared" si="9"/>
        <v>0</v>
      </c>
      <c r="W10" s="22">
        <f t="shared" si="10"/>
        <v>0</v>
      </c>
    </row>
    <row r="11" spans="1:23">
      <c r="A11" s="11">
        <v>7</v>
      </c>
      <c r="B11" s="12" t="s">
        <v>19</v>
      </c>
      <c r="C11" s="13">
        <v>3.63</v>
      </c>
      <c r="D11" s="14">
        <f>'BAMAKO POOL-LABOREX'!D11+'BAMAKO POOL-UBIPHARM'!D11+'BAMAKO POOL-AFRICALA'!D11+'BAMAKO POOL-CAMED &amp;TEDIS&amp;AFRICA'!D11</f>
        <v>0</v>
      </c>
      <c r="E11" s="11">
        <f t="shared" si="2"/>
        <v>0</v>
      </c>
      <c r="F11" s="14">
        <f>'BAMAKO POOL-LABOREX'!F11+'BAMAKO POOL-UBIPHARM'!F11+'BAMAKO POOL-AFRICALA'!F11+'BAMAKO POOL-CAMED &amp;TEDIS&amp;AFRICA'!F11</f>
        <v>0</v>
      </c>
      <c r="G11" s="11">
        <f t="shared" si="3"/>
        <v>0</v>
      </c>
      <c r="H11" s="14">
        <f>'BAMAKO POOL-LABOREX'!H11+'BAMAKO POOL-UBIPHARM'!H11+'BAMAKO POOL-AFRICALA'!H11+'BAMAKO POOL-CAMED &amp;TEDIS&amp;AFRICA'!H11</f>
        <v>0</v>
      </c>
      <c r="I11" s="11">
        <f t="shared" si="4"/>
        <v>0</v>
      </c>
      <c r="J11" s="14">
        <f>'BAMAKO POOL-LABOREX'!J11+'BAMAKO POOL-UBIPHARM'!J11+'BAMAKO POOL-AFRICALA'!J11+'BAMAKO POOL-CAMED &amp;TEDIS&amp;AFRICA'!J11</f>
        <v>0</v>
      </c>
      <c r="K11" s="11">
        <f t="shared" si="5"/>
        <v>0</v>
      </c>
      <c r="L11" s="14">
        <f>'BAMAKO POOL-LABOREX'!L11+'BAMAKO POOL-UBIPHARM'!L11+'BAMAKO POOL-AFRICALA'!L11+'BAMAKO POOL-CAMED &amp;TEDIS&amp;AFRICA'!L11</f>
        <v>0</v>
      </c>
      <c r="M11" s="11">
        <f t="shared" si="6"/>
        <v>0</v>
      </c>
      <c r="N11" s="14">
        <f>'BAMAKO POOL-LABOREX'!N11+'BAMAKO POOL-UBIPHARM'!N11+'BAMAKO POOL-AFRICALA'!N11+'BAMAKO POOL-CAMED &amp;TEDIS&amp;AFRICA'!N11</f>
        <v>0</v>
      </c>
      <c r="O11" s="11">
        <f t="shared" si="7"/>
        <v>0</v>
      </c>
      <c r="P11" s="14">
        <f>'BAMAKO POOL-LABOREX'!R11+'BAMAKO POOL-UBIPHARM'!R11+'BAMAKO POOL-AFRICALA'!R11+'BAMAKO POOL-CAMED &amp;TEDIS&amp;AFRICA'!R11</f>
        <v>0</v>
      </c>
      <c r="Q11" s="11">
        <f t="shared" si="0"/>
        <v>0</v>
      </c>
      <c r="R11" s="26">
        <f t="shared" si="11"/>
        <v>0</v>
      </c>
      <c r="S11" s="11">
        <f t="shared" si="1"/>
        <v>0</v>
      </c>
      <c r="T11" s="42">
        <f t="shared" si="12"/>
        <v>0</v>
      </c>
      <c r="U11" s="43">
        <f t="shared" si="8"/>
        <v>0</v>
      </c>
      <c r="V11" s="22">
        <f t="shared" si="9"/>
        <v>0</v>
      </c>
      <c r="W11" s="22">
        <f t="shared" si="10"/>
        <v>0</v>
      </c>
    </row>
    <row r="12" spans="1:23">
      <c r="A12" s="11">
        <v>8</v>
      </c>
      <c r="B12" s="12" t="s">
        <v>20</v>
      </c>
      <c r="C12" s="13">
        <v>0.85</v>
      </c>
      <c r="D12" s="14">
        <f>'BAMAKO POOL-LABOREX'!D12+'BAMAKO POOL-UBIPHARM'!D12+'BAMAKO POOL-AFRICALA'!D12+'BAMAKO POOL-CAMED &amp;TEDIS&amp;AFRICA'!D12</f>
        <v>9</v>
      </c>
      <c r="E12" s="11">
        <f t="shared" si="2"/>
        <v>7.6499999999999995</v>
      </c>
      <c r="F12" s="14">
        <f>'BAMAKO POOL-LABOREX'!F12+'BAMAKO POOL-UBIPHARM'!F12+'BAMAKO POOL-AFRICALA'!F12+'BAMAKO POOL-CAMED &amp;TEDIS&amp;AFRICA'!F12</f>
        <v>0</v>
      </c>
      <c r="G12" s="11">
        <f t="shared" si="3"/>
        <v>0</v>
      </c>
      <c r="H12" s="14">
        <f>'BAMAKO POOL-LABOREX'!H12+'BAMAKO POOL-UBIPHARM'!H12+'BAMAKO POOL-AFRICALA'!H12+'BAMAKO POOL-CAMED &amp;TEDIS&amp;AFRICA'!H12</f>
        <v>55</v>
      </c>
      <c r="I12" s="11">
        <f t="shared" si="4"/>
        <v>46.75</v>
      </c>
      <c r="J12" s="14">
        <f>'BAMAKO POOL-LABOREX'!J12+'BAMAKO POOL-UBIPHARM'!J12+'BAMAKO POOL-AFRICALA'!J12+'BAMAKO POOL-CAMED &amp;TEDIS&amp;AFRICA'!J12</f>
        <v>0</v>
      </c>
      <c r="K12" s="11">
        <f t="shared" si="5"/>
        <v>0</v>
      </c>
      <c r="L12" s="14">
        <f>'BAMAKO POOL-LABOREX'!L12+'BAMAKO POOL-UBIPHARM'!L12+'BAMAKO POOL-AFRICALA'!L12+'BAMAKO POOL-CAMED &amp;TEDIS&amp;AFRICA'!L12</f>
        <v>22</v>
      </c>
      <c r="M12" s="11">
        <f t="shared" si="6"/>
        <v>18.7</v>
      </c>
      <c r="N12" s="14">
        <f>'BAMAKO POOL-LABOREX'!N12+'BAMAKO POOL-UBIPHARM'!N12+'BAMAKO POOL-AFRICALA'!N12+'BAMAKO POOL-CAMED &amp;TEDIS&amp;AFRICA'!N12</f>
        <v>100</v>
      </c>
      <c r="O12" s="11">
        <f t="shared" si="7"/>
        <v>85</v>
      </c>
      <c r="P12" s="14">
        <f>'BAMAKO POOL-LABOREX'!R12+'BAMAKO POOL-UBIPHARM'!R12+'BAMAKO POOL-AFRICALA'!R12+'BAMAKO POOL-CAMED &amp;TEDIS&amp;AFRICA'!R12</f>
        <v>35</v>
      </c>
      <c r="Q12" s="11">
        <f t="shared" si="0"/>
        <v>29.75</v>
      </c>
      <c r="R12" s="26">
        <f>D12+F12+H12+J12+L12+N12++P12</f>
        <v>221</v>
      </c>
      <c r="S12" s="11">
        <f t="shared" si="1"/>
        <v>187.85</v>
      </c>
      <c r="T12" s="42">
        <f t="shared" si="12"/>
        <v>186</v>
      </c>
      <c r="U12" s="43">
        <f t="shared" si="8"/>
        <v>158.1</v>
      </c>
      <c r="V12" s="22">
        <f t="shared" si="9"/>
        <v>37.57</v>
      </c>
      <c r="W12" s="22">
        <f t="shared" si="10"/>
        <v>39.524999999999999</v>
      </c>
    </row>
    <row r="13" spans="1:23" ht="15" customHeight="1">
      <c r="A13" s="11">
        <v>9</v>
      </c>
      <c r="B13" s="12" t="s">
        <v>21</v>
      </c>
      <c r="C13" s="13">
        <v>1.98</v>
      </c>
      <c r="D13" s="14">
        <f>'BAMAKO POOL-LABOREX'!D13+'BAMAKO POOL-UBIPHARM'!D13+'BAMAKO POOL-AFRICALA'!D13+'BAMAKO POOL-CAMED &amp;TEDIS&amp;AFRICA'!D13</f>
        <v>108</v>
      </c>
      <c r="E13" s="11">
        <f t="shared" si="2"/>
        <v>213.84</v>
      </c>
      <c r="F13" s="14">
        <f>'BAMAKO POOL-LABOREX'!F13+'BAMAKO POOL-UBIPHARM'!F13+'BAMAKO POOL-AFRICALA'!F13+'BAMAKO POOL-CAMED &amp;TEDIS&amp;AFRICA'!F13</f>
        <v>79</v>
      </c>
      <c r="G13" s="11">
        <f t="shared" si="3"/>
        <v>156.41999999999999</v>
      </c>
      <c r="H13" s="14">
        <f>'BAMAKO POOL-LABOREX'!H13+'BAMAKO POOL-UBIPHARM'!H13+'BAMAKO POOL-AFRICALA'!H13+'BAMAKO POOL-CAMED &amp;TEDIS&amp;AFRICA'!H13</f>
        <v>229</v>
      </c>
      <c r="I13" s="11">
        <f t="shared" si="4"/>
        <v>453.42</v>
      </c>
      <c r="J13" s="14">
        <f>'BAMAKO POOL-LABOREX'!J13+'BAMAKO POOL-UBIPHARM'!J13+'BAMAKO POOL-AFRICALA'!J13+'BAMAKO POOL-CAMED &amp;TEDIS&amp;AFRICA'!J13</f>
        <v>79</v>
      </c>
      <c r="K13" s="11">
        <f t="shared" si="5"/>
        <v>156.41999999999999</v>
      </c>
      <c r="L13" s="14">
        <f>'BAMAKO POOL-LABOREX'!L13+'BAMAKO POOL-UBIPHARM'!L13+'BAMAKO POOL-AFRICALA'!L13+'BAMAKO POOL-CAMED &amp;TEDIS&amp;AFRICA'!L13</f>
        <v>223</v>
      </c>
      <c r="M13" s="11">
        <f t="shared" si="6"/>
        <v>441.54</v>
      </c>
      <c r="N13" s="14">
        <f>'BAMAKO POOL-LABOREX'!N13+'BAMAKO POOL-UBIPHARM'!N13+'BAMAKO POOL-AFRICALA'!N13+'BAMAKO POOL-CAMED &amp;TEDIS&amp;AFRICA'!N13</f>
        <v>380</v>
      </c>
      <c r="O13" s="11">
        <f t="shared" si="7"/>
        <v>752.4</v>
      </c>
      <c r="P13" s="14">
        <f>'BAMAKO POOL-LABOREX'!R13+'BAMAKO POOL-UBIPHARM'!R13+'BAMAKO POOL-AFRICALA'!R13+'BAMAKO POOL-CAMED &amp;TEDIS&amp;AFRICA'!R13</f>
        <v>353</v>
      </c>
      <c r="Q13" s="11">
        <f t="shared" si="0"/>
        <v>698.93999999999994</v>
      </c>
      <c r="R13" s="26">
        <f t="shared" si="11"/>
        <v>1451</v>
      </c>
      <c r="S13" s="11">
        <f t="shared" si="1"/>
        <v>2872.98</v>
      </c>
      <c r="T13" s="42">
        <f t="shared" si="12"/>
        <v>1098</v>
      </c>
      <c r="U13" s="43">
        <f t="shared" si="8"/>
        <v>2174.04</v>
      </c>
      <c r="V13" s="22">
        <f t="shared" si="9"/>
        <v>574.596</v>
      </c>
      <c r="W13" s="22">
        <f t="shared" si="10"/>
        <v>543.51</v>
      </c>
    </row>
    <row r="14" spans="1:23">
      <c r="A14" s="11">
        <v>10</v>
      </c>
      <c r="B14" s="15" t="s">
        <v>22</v>
      </c>
      <c r="C14" s="13">
        <v>1.98</v>
      </c>
      <c r="D14" s="14">
        <f>'BAMAKO POOL-LABOREX'!D14+'BAMAKO POOL-UBIPHARM'!D14+'BAMAKO POOL-AFRICALA'!D14+'BAMAKO POOL-CAMED &amp;TEDIS&amp;AFRICA'!D14</f>
        <v>17</v>
      </c>
      <c r="E14" s="11">
        <f t="shared" si="2"/>
        <v>33.659999999999997</v>
      </c>
      <c r="F14" s="14">
        <f>'BAMAKO POOL-LABOREX'!F14+'BAMAKO POOL-UBIPHARM'!F14+'BAMAKO POOL-AFRICALA'!F14+'BAMAKO POOL-CAMED &amp;TEDIS&amp;AFRICA'!F14</f>
        <v>7</v>
      </c>
      <c r="G14" s="11">
        <f t="shared" si="3"/>
        <v>13.86</v>
      </c>
      <c r="H14" s="14">
        <f>'BAMAKO POOL-LABOREX'!H14+'BAMAKO POOL-UBIPHARM'!H14+'BAMAKO POOL-AFRICALA'!H14+'BAMAKO POOL-CAMED &amp;TEDIS&amp;AFRICA'!H14</f>
        <v>46</v>
      </c>
      <c r="I14" s="11">
        <f t="shared" si="4"/>
        <v>91.08</v>
      </c>
      <c r="J14" s="14">
        <f>'BAMAKO POOL-LABOREX'!J14+'BAMAKO POOL-UBIPHARM'!J14+'BAMAKO POOL-AFRICALA'!J14+'BAMAKO POOL-CAMED &amp;TEDIS&amp;AFRICA'!J14</f>
        <v>8</v>
      </c>
      <c r="K14" s="11">
        <f t="shared" si="5"/>
        <v>15.84</v>
      </c>
      <c r="L14" s="14">
        <f>'BAMAKO POOL-LABOREX'!L14+'BAMAKO POOL-UBIPHARM'!L14+'BAMAKO POOL-AFRICALA'!L14+'BAMAKO POOL-CAMED &amp;TEDIS&amp;AFRICA'!L14</f>
        <v>68</v>
      </c>
      <c r="M14" s="11">
        <f t="shared" si="6"/>
        <v>134.63999999999999</v>
      </c>
      <c r="N14" s="14">
        <f>'BAMAKO POOL-LABOREX'!N14+'BAMAKO POOL-UBIPHARM'!N14+'BAMAKO POOL-AFRICALA'!N14+'BAMAKO POOL-CAMED &amp;TEDIS&amp;AFRICA'!N14</f>
        <v>136</v>
      </c>
      <c r="O14" s="11">
        <f t="shared" si="7"/>
        <v>269.27999999999997</v>
      </c>
      <c r="P14" s="14">
        <f>'BAMAKO POOL-LABOREX'!R14+'BAMAKO POOL-UBIPHARM'!R14+'BAMAKO POOL-AFRICALA'!R14+'BAMAKO POOL-CAMED &amp;TEDIS&amp;AFRICA'!R14</f>
        <v>73</v>
      </c>
      <c r="Q14" s="11">
        <f t="shared" si="0"/>
        <v>144.54</v>
      </c>
      <c r="R14" s="26">
        <f t="shared" si="11"/>
        <v>355</v>
      </c>
      <c r="S14" s="11">
        <f t="shared" si="1"/>
        <v>702.9</v>
      </c>
      <c r="T14" s="42">
        <f t="shared" si="12"/>
        <v>282</v>
      </c>
      <c r="U14" s="43">
        <f t="shared" si="8"/>
        <v>558.36</v>
      </c>
      <c r="V14" s="22">
        <f t="shared" si="9"/>
        <v>140.57999999999998</v>
      </c>
      <c r="W14" s="22">
        <f t="shared" si="10"/>
        <v>139.59</v>
      </c>
    </row>
    <row r="15" spans="1:23" ht="13.5" customHeight="1">
      <c r="A15" s="11">
        <v>11</v>
      </c>
      <c r="B15" s="12" t="s">
        <v>23</v>
      </c>
      <c r="C15" s="13">
        <v>4.6900000000000004</v>
      </c>
      <c r="D15" s="14">
        <f>'BAMAKO POOL-LABOREX'!D15+'BAMAKO POOL-UBIPHARM'!D15+'BAMAKO POOL-AFRICALA'!D15+'BAMAKO POOL-CAMED &amp;TEDIS&amp;AFRICA'!D15</f>
        <v>0</v>
      </c>
      <c r="E15" s="11">
        <f t="shared" si="2"/>
        <v>0</v>
      </c>
      <c r="F15" s="14">
        <f>'BAMAKO POOL-LABOREX'!F15+'BAMAKO POOL-UBIPHARM'!F15+'BAMAKO POOL-AFRICALA'!F15+'BAMAKO POOL-CAMED &amp;TEDIS&amp;AFRICA'!F15</f>
        <v>0</v>
      </c>
      <c r="G15" s="11">
        <f t="shared" si="3"/>
        <v>0</v>
      </c>
      <c r="H15" s="14">
        <f>'BAMAKO POOL-LABOREX'!H15+'BAMAKO POOL-UBIPHARM'!H15+'BAMAKO POOL-AFRICALA'!H15+'BAMAKO POOL-CAMED &amp;TEDIS&amp;AFRICA'!H15</f>
        <v>0</v>
      </c>
      <c r="I15" s="11">
        <f t="shared" si="4"/>
        <v>0</v>
      </c>
      <c r="J15" s="14">
        <f>'BAMAKO POOL-LABOREX'!J15+'BAMAKO POOL-UBIPHARM'!J15+'BAMAKO POOL-AFRICALA'!J15+'BAMAKO POOL-CAMED &amp;TEDIS&amp;AFRICA'!J15</f>
        <v>0</v>
      </c>
      <c r="K15" s="11">
        <f t="shared" si="5"/>
        <v>0</v>
      </c>
      <c r="L15" s="14">
        <f>'BAMAKO POOL-LABOREX'!L15+'BAMAKO POOL-UBIPHARM'!L15+'BAMAKO POOL-AFRICALA'!L15+'BAMAKO POOL-CAMED &amp;TEDIS&amp;AFRICA'!L15</f>
        <v>0</v>
      </c>
      <c r="M15" s="11">
        <f t="shared" si="6"/>
        <v>0</v>
      </c>
      <c r="N15" s="14">
        <f>'BAMAKO POOL-LABOREX'!N15+'BAMAKO POOL-UBIPHARM'!N15+'BAMAKO POOL-AFRICALA'!N15+'BAMAKO POOL-CAMED &amp;TEDIS&amp;AFRICA'!N15</f>
        <v>0</v>
      </c>
      <c r="O15" s="11">
        <f t="shared" si="7"/>
        <v>0</v>
      </c>
      <c r="P15" s="14">
        <f>'BAMAKO POOL-LABOREX'!R15+'BAMAKO POOL-UBIPHARM'!R15+'BAMAKO POOL-AFRICALA'!R15+'BAMAKO POOL-CAMED &amp;TEDIS&amp;AFRICA'!R15</f>
        <v>0</v>
      </c>
      <c r="Q15" s="11">
        <f t="shared" si="0"/>
        <v>0</v>
      </c>
      <c r="R15" s="26">
        <f t="shared" si="11"/>
        <v>0</v>
      </c>
      <c r="S15" s="11">
        <f t="shared" si="1"/>
        <v>0</v>
      </c>
      <c r="T15" s="42">
        <f t="shared" si="12"/>
        <v>0</v>
      </c>
      <c r="U15" s="43">
        <f t="shared" si="8"/>
        <v>0</v>
      </c>
      <c r="V15" s="22">
        <f t="shared" si="9"/>
        <v>0</v>
      </c>
      <c r="W15" s="22">
        <f t="shared" si="10"/>
        <v>0</v>
      </c>
    </row>
    <row r="16" spans="1:23">
      <c r="A16" s="11">
        <v>12</v>
      </c>
      <c r="B16" s="12" t="s">
        <v>24</v>
      </c>
      <c r="C16" s="13">
        <v>2.9</v>
      </c>
      <c r="D16" s="14">
        <f>'BAMAKO POOL-LABOREX'!D16+'BAMAKO POOL-UBIPHARM'!D16+'BAMAKO POOL-AFRICALA'!D16+'BAMAKO POOL-CAMED &amp;TEDIS&amp;AFRICA'!D16</f>
        <v>0</v>
      </c>
      <c r="E16" s="11">
        <f t="shared" si="2"/>
        <v>0</v>
      </c>
      <c r="F16" s="14">
        <f>'BAMAKO POOL-LABOREX'!F16+'BAMAKO POOL-UBIPHARM'!F16+'BAMAKO POOL-AFRICALA'!F16+'BAMAKO POOL-CAMED &amp;TEDIS&amp;AFRICA'!F16</f>
        <v>0</v>
      </c>
      <c r="G16" s="11">
        <f t="shared" si="3"/>
        <v>0</v>
      </c>
      <c r="H16" s="14">
        <f>'BAMAKO POOL-LABOREX'!H16+'BAMAKO POOL-UBIPHARM'!H16+'BAMAKO POOL-AFRICALA'!H16+'BAMAKO POOL-CAMED &amp;TEDIS&amp;AFRICA'!H16</f>
        <v>0</v>
      </c>
      <c r="I16" s="11">
        <f t="shared" si="4"/>
        <v>0</v>
      </c>
      <c r="J16" s="14">
        <f>'BAMAKO POOL-LABOREX'!J16+'BAMAKO POOL-UBIPHARM'!J16+'BAMAKO POOL-AFRICALA'!J16+'BAMAKO POOL-CAMED &amp;TEDIS&amp;AFRICA'!J16</f>
        <v>0</v>
      </c>
      <c r="K16" s="11">
        <f t="shared" si="5"/>
        <v>0</v>
      </c>
      <c r="L16" s="14">
        <f>'BAMAKO POOL-LABOREX'!L16+'BAMAKO POOL-UBIPHARM'!L16+'BAMAKO POOL-AFRICALA'!L16+'BAMAKO POOL-CAMED &amp;TEDIS&amp;AFRICA'!L16</f>
        <v>0</v>
      </c>
      <c r="M16" s="11">
        <f t="shared" si="6"/>
        <v>0</v>
      </c>
      <c r="N16" s="14">
        <f>'BAMAKO POOL-LABOREX'!N16+'BAMAKO POOL-UBIPHARM'!N16+'BAMAKO POOL-AFRICALA'!N16+'BAMAKO POOL-CAMED &amp;TEDIS&amp;AFRICA'!N16</f>
        <v>0</v>
      </c>
      <c r="O16" s="11">
        <f t="shared" si="7"/>
        <v>0</v>
      </c>
      <c r="P16" s="14">
        <f>'BAMAKO POOL-LABOREX'!R16+'BAMAKO POOL-UBIPHARM'!R16+'BAMAKO POOL-AFRICALA'!R16+'BAMAKO POOL-CAMED &amp;TEDIS&amp;AFRICA'!R16</f>
        <v>0</v>
      </c>
      <c r="Q16" s="11">
        <f t="shared" si="0"/>
        <v>0</v>
      </c>
      <c r="R16" s="26">
        <f t="shared" si="11"/>
        <v>0</v>
      </c>
      <c r="S16" s="11">
        <f t="shared" si="1"/>
        <v>0</v>
      </c>
      <c r="T16" s="42">
        <f t="shared" si="12"/>
        <v>0</v>
      </c>
      <c r="U16" s="43">
        <f t="shared" si="8"/>
        <v>0</v>
      </c>
      <c r="V16" s="22">
        <f t="shared" si="9"/>
        <v>0</v>
      </c>
      <c r="W16" s="22">
        <f t="shared" si="10"/>
        <v>0</v>
      </c>
    </row>
    <row r="17" spans="1:23">
      <c r="A17" s="11">
        <v>13</v>
      </c>
      <c r="B17" s="12" t="s">
        <v>55</v>
      </c>
      <c r="C17" s="13">
        <v>1.9</v>
      </c>
      <c r="D17" s="14">
        <f>'BAMAKO POOL-LABOREX'!D17+'BAMAKO POOL-UBIPHARM'!D17+'BAMAKO POOL-AFRICALA'!D17+'BAMAKO POOL-CAMED &amp;TEDIS&amp;AFRICA'!D17</f>
        <v>30</v>
      </c>
      <c r="E17" s="11">
        <f>D17*C17</f>
        <v>57</v>
      </c>
      <c r="F17" s="14">
        <f>'BAMAKO POOL-LABOREX'!F17+'BAMAKO POOL-UBIPHARM'!F17+'BAMAKO POOL-AFRICALA'!F17+'BAMAKO POOL-CAMED &amp;TEDIS&amp;AFRICA'!F17</f>
        <v>0</v>
      </c>
      <c r="G17" s="11">
        <f>F17*C17</f>
        <v>0</v>
      </c>
      <c r="H17" s="14">
        <f>'BAMAKO POOL-LABOREX'!H17+'BAMAKO POOL-UBIPHARM'!H17+'BAMAKO POOL-AFRICALA'!H17+'BAMAKO POOL-CAMED &amp;TEDIS&amp;AFRICA'!H17</f>
        <v>40</v>
      </c>
      <c r="I17" s="11">
        <f>H17*C17</f>
        <v>76</v>
      </c>
      <c r="J17" s="14">
        <f>'BAMAKO POOL-LABOREX'!J17+'BAMAKO POOL-UBIPHARM'!J17+'BAMAKO POOL-AFRICALA'!J17+'BAMAKO POOL-CAMED &amp;TEDIS&amp;AFRICA'!J17</f>
        <v>0</v>
      </c>
      <c r="K17" s="11">
        <f>J17*C17</f>
        <v>0</v>
      </c>
      <c r="L17" s="14">
        <f>'BAMAKO POOL-LABOREX'!L17+'BAMAKO POOL-UBIPHARM'!L17+'BAMAKO POOL-AFRICALA'!L17+'BAMAKO POOL-CAMED &amp;TEDIS&amp;AFRICA'!L17</f>
        <v>40</v>
      </c>
      <c r="M17" s="11">
        <f>L17*C17</f>
        <v>76</v>
      </c>
      <c r="N17" s="14">
        <f>'BAMAKO POOL-LABOREX'!N17+'BAMAKO POOL-UBIPHARM'!N17+'BAMAKO POOL-AFRICALA'!N17+'BAMAKO POOL-CAMED &amp;TEDIS&amp;AFRICA'!N17</f>
        <v>60</v>
      </c>
      <c r="O17" s="11">
        <f>N17*C17</f>
        <v>114</v>
      </c>
      <c r="P17" s="14">
        <f>'BAMAKO POOL-LABOREX'!R17+'BAMAKO POOL-UBIPHARM'!R17+'BAMAKO POOL-AFRICALA'!R17+'BAMAKO POOL-CAMED &amp;TEDIS&amp;AFRICA'!R17</f>
        <v>40</v>
      </c>
      <c r="Q17" s="11">
        <f>P17*C17</f>
        <v>76</v>
      </c>
      <c r="R17" s="26">
        <f>D17+F17+H17+J17+L17+N17++P17</f>
        <v>210</v>
      </c>
      <c r="S17" s="11">
        <f>R17*C17</f>
        <v>399</v>
      </c>
      <c r="T17" s="42">
        <f t="shared" si="12"/>
        <v>170</v>
      </c>
      <c r="U17" s="43">
        <f t="shared" si="8"/>
        <v>323</v>
      </c>
      <c r="V17" s="22">
        <f t="shared" si="9"/>
        <v>79.8</v>
      </c>
      <c r="W17" s="22">
        <f t="shared" si="10"/>
        <v>80.75</v>
      </c>
    </row>
    <row r="18" spans="1:23">
      <c r="A18" s="11">
        <v>14</v>
      </c>
      <c r="B18" s="12" t="s">
        <v>56</v>
      </c>
      <c r="C18" s="13">
        <v>2.4</v>
      </c>
      <c r="D18" s="14">
        <f>'BAMAKO POOL-LABOREX'!D18+'BAMAKO POOL-UBIPHARM'!D18+'BAMAKO POOL-AFRICALA'!D18+'BAMAKO POOL-CAMED &amp;TEDIS&amp;AFRICA'!D18</f>
        <v>0</v>
      </c>
      <c r="E18" s="11">
        <f>D18*C18</f>
        <v>0</v>
      </c>
      <c r="F18" s="14">
        <f>'BAMAKO POOL-LABOREX'!F18+'BAMAKO POOL-UBIPHARM'!F18+'BAMAKO POOL-AFRICALA'!F18+'BAMAKO POOL-CAMED &amp;TEDIS&amp;AFRICA'!F18</f>
        <v>0</v>
      </c>
      <c r="G18" s="11">
        <f>F18*C18</f>
        <v>0</v>
      </c>
      <c r="H18" s="14">
        <f>'BAMAKO POOL-LABOREX'!H18+'BAMAKO POOL-UBIPHARM'!H18+'BAMAKO POOL-AFRICALA'!H18+'BAMAKO POOL-CAMED &amp;TEDIS&amp;AFRICA'!H18</f>
        <v>0</v>
      </c>
      <c r="I18" s="11">
        <f>H18*C18</f>
        <v>0</v>
      </c>
      <c r="J18" s="14">
        <f>'BAMAKO POOL-LABOREX'!J18+'BAMAKO POOL-UBIPHARM'!J18+'BAMAKO POOL-AFRICALA'!J18+'BAMAKO POOL-CAMED &amp;TEDIS&amp;AFRICA'!J18</f>
        <v>0</v>
      </c>
      <c r="K18" s="11">
        <f>J18*C18</f>
        <v>0</v>
      </c>
      <c r="L18" s="14">
        <f>'BAMAKO POOL-LABOREX'!L18+'BAMAKO POOL-UBIPHARM'!L18+'BAMAKO POOL-AFRICALA'!L18+'BAMAKO POOL-CAMED &amp;TEDIS&amp;AFRICA'!L18</f>
        <v>0</v>
      </c>
      <c r="M18" s="11">
        <f>L18*C18</f>
        <v>0</v>
      </c>
      <c r="N18" s="14">
        <f>'BAMAKO POOL-LABOREX'!N18+'BAMAKO POOL-UBIPHARM'!N18+'BAMAKO POOL-AFRICALA'!N18+'BAMAKO POOL-CAMED &amp;TEDIS&amp;AFRICA'!N18</f>
        <v>0</v>
      </c>
      <c r="O18" s="11">
        <f>N18*C18</f>
        <v>0</v>
      </c>
      <c r="P18" s="14">
        <f>'BAMAKO POOL-LABOREX'!R18+'BAMAKO POOL-UBIPHARM'!R18+'BAMAKO POOL-AFRICALA'!R18+'BAMAKO POOL-CAMED &amp;TEDIS&amp;AFRICA'!R18</f>
        <v>0</v>
      </c>
      <c r="Q18" s="11">
        <f>P18*C18</f>
        <v>0</v>
      </c>
      <c r="R18" s="26">
        <f>D18+F18+H18+J18+L18+N18++P18</f>
        <v>0</v>
      </c>
      <c r="S18" s="11">
        <f>R18*C18</f>
        <v>0</v>
      </c>
      <c r="T18" s="42">
        <f t="shared" si="12"/>
        <v>0</v>
      </c>
      <c r="U18" s="43">
        <f t="shared" si="8"/>
        <v>0</v>
      </c>
      <c r="V18" s="22">
        <f t="shared" si="9"/>
        <v>0</v>
      </c>
      <c r="W18" s="22">
        <f t="shared" si="10"/>
        <v>0</v>
      </c>
    </row>
    <row r="19" spans="1:23">
      <c r="A19" s="11">
        <v>15</v>
      </c>
      <c r="B19" s="12" t="s">
        <v>25</v>
      </c>
      <c r="C19" s="13">
        <v>1.5</v>
      </c>
      <c r="D19" s="14">
        <f>'BAMAKO POOL-LABOREX'!D19+'BAMAKO POOL-UBIPHARM'!D19+'BAMAKO POOL-AFRICALA'!D19+'BAMAKO POOL-CAMED &amp;TEDIS&amp;AFRICA'!D19</f>
        <v>0</v>
      </c>
      <c r="E19" s="11">
        <f t="shared" si="2"/>
        <v>0</v>
      </c>
      <c r="F19" s="14">
        <f>'BAMAKO POOL-LABOREX'!F19+'BAMAKO POOL-UBIPHARM'!F19+'BAMAKO POOL-AFRICALA'!F19+'BAMAKO POOL-CAMED &amp;TEDIS&amp;AFRICA'!F19</f>
        <v>0</v>
      </c>
      <c r="G19" s="11">
        <f t="shared" si="3"/>
        <v>0</v>
      </c>
      <c r="H19" s="14">
        <f>'BAMAKO POOL-LABOREX'!H19+'BAMAKO POOL-UBIPHARM'!H19+'BAMAKO POOL-AFRICALA'!H19+'BAMAKO POOL-CAMED &amp;TEDIS&amp;AFRICA'!H19</f>
        <v>0</v>
      </c>
      <c r="I19" s="11">
        <f t="shared" si="4"/>
        <v>0</v>
      </c>
      <c r="J19" s="14">
        <f>'BAMAKO POOL-LABOREX'!J19+'BAMAKO POOL-UBIPHARM'!J19+'BAMAKO POOL-AFRICALA'!J19+'BAMAKO POOL-CAMED &amp;TEDIS&amp;AFRICA'!J19</f>
        <v>0</v>
      </c>
      <c r="K19" s="11">
        <f t="shared" si="5"/>
        <v>0</v>
      </c>
      <c r="L19" s="14">
        <f>'BAMAKO POOL-LABOREX'!L19+'BAMAKO POOL-UBIPHARM'!L19+'BAMAKO POOL-AFRICALA'!L19+'BAMAKO POOL-CAMED &amp;TEDIS&amp;AFRICA'!L19</f>
        <v>0</v>
      </c>
      <c r="M19" s="11">
        <f t="shared" si="6"/>
        <v>0</v>
      </c>
      <c r="N19" s="14">
        <f>'BAMAKO POOL-LABOREX'!N19+'BAMAKO POOL-UBIPHARM'!N19+'BAMAKO POOL-AFRICALA'!N19+'BAMAKO POOL-CAMED &amp;TEDIS&amp;AFRICA'!N19</f>
        <v>0</v>
      </c>
      <c r="O19" s="11">
        <f t="shared" si="7"/>
        <v>0</v>
      </c>
      <c r="P19" s="14">
        <f>'BAMAKO POOL-LABOREX'!R19+'BAMAKO POOL-UBIPHARM'!R19+'BAMAKO POOL-AFRICALA'!R19+'BAMAKO POOL-CAMED &amp;TEDIS&amp;AFRICA'!R19</f>
        <v>0</v>
      </c>
      <c r="Q19" s="11">
        <f t="shared" si="0"/>
        <v>0</v>
      </c>
      <c r="R19" s="26">
        <f t="shared" si="11"/>
        <v>0</v>
      </c>
      <c r="S19" s="11">
        <f t="shared" si="1"/>
        <v>0</v>
      </c>
      <c r="T19" s="42">
        <f>D19+F19+H19+J19+L19+N19</f>
        <v>0</v>
      </c>
      <c r="U19" s="43">
        <f t="shared" si="8"/>
        <v>0</v>
      </c>
      <c r="V19" s="22">
        <f t="shared" si="9"/>
        <v>0</v>
      </c>
      <c r="W19" s="22">
        <f t="shared" si="10"/>
        <v>0</v>
      </c>
    </row>
    <row r="20" spans="1:23">
      <c r="A20" s="11">
        <v>16</v>
      </c>
      <c r="B20" s="12" t="s">
        <v>58</v>
      </c>
      <c r="C20" s="13">
        <v>5.38</v>
      </c>
      <c r="D20" s="14">
        <f>'BAMAKO POOL-LABOREX'!D20+'BAMAKO POOL-UBIPHARM'!D20+'BAMAKO POOL-AFRICALA'!D20+'BAMAKO POOL-CAMED &amp;TEDIS&amp;AFRICA'!D20</f>
        <v>44</v>
      </c>
      <c r="E20" s="11">
        <f>D20*C20</f>
        <v>236.72</v>
      </c>
      <c r="F20" s="14">
        <f>'BAMAKO POOL-LABOREX'!F20+'BAMAKO POOL-UBIPHARM'!F20+'BAMAKO POOL-AFRICALA'!F20+'BAMAKO POOL-CAMED &amp;TEDIS&amp;AFRICA'!F20</f>
        <v>9</v>
      </c>
      <c r="G20" s="11">
        <f>F20*C20</f>
        <v>48.42</v>
      </c>
      <c r="H20" s="14">
        <f>'BAMAKO POOL-LABOREX'!H20+'BAMAKO POOL-UBIPHARM'!H20+'BAMAKO POOL-AFRICALA'!H20+'BAMAKO POOL-CAMED &amp;TEDIS&amp;AFRICA'!H20</f>
        <v>13</v>
      </c>
      <c r="I20" s="11">
        <f>H20*C20</f>
        <v>69.94</v>
      </c>
      <c r="J20" s="14">
        <f>'BAMAKO POOL-LABOREX'!J20+'BAMAKO POOL-UBIPHARM'!J20+'BAMAKO POOL-AFRICALA'!J20+'BAMAKO POOL-CAMED &amp;TEDIS&amp;AFRICA'!J20</f>
        <v>0</v>
      </c>
      <c r="K20" s="11">
        <f>J20*C20</f>
        <v>0</v>
      </c>
      <c r="L20" s="14">
        <f>'BAMAKO POOL-LABOREX'!L20+'BAMAKO POOL-UBIPHARM'!L20+'BAMAKO POOL-AFRICALA'!L20+'BAMAKO POOL-CAMED &amp;TEDIS&amp;AFRICA'!L20</f>
        <v>65</v>
      </c>
      <c r="M20" s="11">
        <f>L20*C20</f>
        <v>349.7</v>
      </c>
      <c r="N20" s="14">
        <f>'BAMAKO POOL-LABOREX'!N20+'BAMAKO POOL-UBIPHARM'!N20+'BAMAKO POOL-AFRICALA'!N20+'BAMAKO POOL-CAMED &amp;TEDIS&amp;AFRICA'!N20</f>
        <v>55</v>
      </c>
      <c r="O20" s="11">
        <f>N20*C20</f>
        <v>295.89999999999998</v>
      </c>
      <c r="P20" s="14">
        <f>'BAMAKO POOL-LABOREX'!R20+'BAMAKO POOL-UBIPHARM'!R20+'BAMAKO POOL-AFRICALA'!R20+'BAMAKO POOL-CAMED &amp;TEDIS&amp;AFRICA'!R20</f>
        <v>18</v>
      </c>
      <c r="Q20" s="11">
        <f>P20*C20</f>
        <v>96.84</v>
      </c>
      <c r="R20" s="26">
        <f>D20+F20+H20+J20+L20+N20++P20</f>
        <v>204</v>
      </c>
      <c r="S20" s="11">
        <f>R20*C20</f>
        <v>1097.52</v>
      </c>
      <c r="T20" s="42">
        <f>D20+F20+H20+J20+L20+N20</f>
        <v>186</v>
      </c>
      <c r="U20" s="43">
        <f>T20*$C20</f>
        <v>1000.68</v>
      </c>
      <c r="V20" s="22">
        <f>S20/5</f>
        <v>219.50399999999999</v>
      </c>
      <c r="W20" s="22">
        <f>U20/4</f>
        <v>250.17</v>
      </c>
    </row>
    <row r="21" spans="1:23" ht="15" thickBot="1">
      <c r="A21" s="11">
        <v>17</v>
      </c>
      <c r="B21" s="12" t="s">
        <v>59</v>
      </c>
      <c r="C21" s="13">
        <v>2</v>
      </c>
      <c r="D21" s="14">
        <f>'BAMAKO POOL-LABOREX'!D21+'BAMAKO POOL-UBIPHARM'!D21+'BAMAKO POOL-AFRICALA'!D21+'BAMAKO POOL-CAMED &amp;TEDIS&amp;AFRICA'!D21</f>
        <v>0</v>
      </c>
      <c r="E21" s="11">
        <f>D21*C21</f>
        <v>0</v>
      </c>
      <c r="F21" s="14">
        <f>'BAMAKO POOL-LABOREX'!F21+'BAMAKO POOL-UBIPHARM'!F21+'BAMAKO POOL-AFRICALA'!F21+'BAMAKO POOL-CAMED &amp;TEDIS&amp;AFRICA'!F21</f>
        <v>0</v>
      </c>
      <c r="G21" s="11">
        <f>F21*C21</f>
        <v>0</v>
      </c>
      <c r="H21" s="14">
        <f>'BAMAKO POOL-LABOREX'!H21+'BAMAKO POOL-UBIPHARM'!H21+'BAMAKO POOL-AFRICALA'!H21+'BAMAKO POOL-CAMED &amp;TEDIS&amp;AFRICA'!H21</f>
        <v>0</v>
      </c>
      <c r="I21" s="11">
        <f>H21*C21</f>
        <v>0</v>
      </c>
      <c r="J21" s="14">
        <f>'BAMAKO POOL-LABOREX'!J21+'BAMAKO POOL-UBIPHARM'!J21+'BAMAKO POOL-AFRICALA'!J21+'BAMAKO POOL-CAMED &amp;TEDIS&amp;AFRICA'!J21</f>
        <v>0</v>
      </c>
      <c r="K21" s="11">
        <f>J21*C21</f>
        <v>0</v>
      </c>
      <c r="L21" s="14">
        <f>'BAMAKO POOL-LABOREX'!L21+'BAMAKO POOL-UBIPHARM'!L21+'BAMAKO POOL-AFRICALA'!L21+'BAMAKO POOL-CAMED &amp;TEDIS&amp;AFRICA'!L21</f>
        <v>0</v>
      </c>
      <c r="M21" s="11">
        <f>L21*C21</f>
        <v>0</v>
      </c>
      <c r="N21" s="14">
        <f>'BAMAKO POOL-LABOREX'!N21+'BAMAKO POOL-UBIPHARM'!N21+'BAMAKO POOL-AFRICALA'!N21+'BAMAKO POOL-CAMED &amp;TEDIS&amp;AFRICA'!N21</f>
        <v>0</v>
      </c>
      <c r="O21" s="11">
        <f>N21*C21</f>
        <v>0</v>
      </c>
      <c r="P21" s="14">
        <f>'BAMAKO POOL-LABOREX'!R21+'BAMAKO POOL-UBIPHARM'!R21+'BAMAKO POOL-AFRICALA'!R21+'BAMAKO POOL-CAMED &amp;TEDIS&amp;AFRICA'!R21</f>
        <v>0</v>
      </c>
      <c r="Q21" s="11">
        <f>P21*C21</f>
        <v>0</v>
      </c>
      <c r="R21" s="26">
        <f>D21+F21+H21+J21+L21+N21++P21</f>
        <v>0</v>
      </c>
      <c r="S21" s="11">
        <f>R21*C21</f>
        <v>0</v>
      </c>
      <c r="T21" s="42">
        <f>D21+F21+H21+J21+L21+N21</f>
        <v>0</v>
      </c>
      <c r="U21" s="43">
        <f>T21*$C21</f>
        <v>0</v>
      </c>
      <c r="V21" s="22">
        <f>S21/5</f>
        <v>0</v>
      </c>
      <c r="W21" s="22">
        <f>U21/4</f>
        <v>0</v>
      </c>
    </row>
    <row r="22" spans="1:23" ht="15" thickBot="1">
      <c r="A22" s="16"/>
      <c r="B22" s="17" t="s">
        <v>6</v>
      </c>
      <c r="C22" s="17"/>
      <c r="D22" s="17"/>
      <c r="E22" s="17">
        <f>SUM(E5:E21)</f>
        <v>2301.33</v>
      </c>
      <c r="F22" s="17"/>
      <c r="G22" s="17">
        <f>SUM(G5:G21)</f>
        <v>701.25</v>
      </c>
      <c r="H22" s="17"/>
      <c r="I22" s="17">
        <f>SUM(I5:I21)</f>
        <v>2345.2199999999998</v>
      </c>
      <c r="J22" s="17"/>
      <c r="K22" s="17">
        <f>SUM(K5:K21)</f>
        <v>843</v>
      </c>
      <c r="L22" s="17"/>
      <c r="M22" s="17">
        <f>SUM(M5:M21)</f>
        <v>3743.1099999999997</v>
      </c>
      <c r="N22" s="17"/>
      <c r="O22" s="17">
        <f>SUM(O5:O21)</f>
        <v>7362.4699999999984</v>
      </c>
      <c r="P22" s="17"/>
      <c r="Q22" s="17">
        <f>SUM(Q5:Q21)</f>
        <v>6836.9999999999991</v>
      </c>
      <c r="R22" s="17"/>
      <c r="S22" s="17">
        <f>SUM(S5:S21)</f>
        <v>24133.379999999997</v>
      </c>
      <c r="T22" s="17"/>
      <c r="U22" s="56">
        <f>SUM(U5:U21)</f>
        <v>17296.38</v>
      </c>
      <c r="V22" s="22">
        <f>S22/5</f>
        <v>4826.6759999999995</v>
      </c>
      <c r="W22" s="22">
        <f>U22/4</f>
        <v>4324.0950000000003</v>
      </c>
    </row>
    <row r="23" spans="1:23">
      <c r="A23" s="3"/>
      <c r="B23" s="3"/>
      <c r="C23" s="3"/>
      <c r="D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</sheetData>
  <mergeCells count="10">
    <mergeCell ref="V3:W3"/>
    <mergeCell ref="N3:O3"/>
    <mergeCell ref="P3:Q3"/>
    <mergeCell ref="R3:S3"/>
    <mergeCell ref="T3:U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workbookViewId="0">
      <selection activeCell="B2" sqref="B2"/>
    </sheetView>
  </sheetViews>
  <sheetFormatPr baseColWidth="10" defaultColWidth="14.453125" defaultRowHeight="14.5"/>
  <cols>
    <col min="1" max="1" width="11.453125" style="22" customWidth="1"/>
    <col min="2" max="2" width="22.54296875" style="22" customWidth="1"/>
    <col min="3" max="3" width="15.1796875" style="22" customWidth="1"/>
    <col min="4" max="26" width="9.54296875" style="22" customWidth="1"/>
    <col min="27" max="27" width="8.7265625" style="22" customWidth="1"/>
    <col min="28" max="16384" width="14.453125" style="2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0</v>
      </c>
      <c r="B2" s="2">
        <v>45261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95"/>
    </row>
    <row r="3" spans="1:27" ht="15" customHeight="1">
      <c r="A3" s="4"/>
      <c r="B3" s="5"/>
      <c r="C3" s="6"/>
      <c r="D3" s="73" t="s">
        <v>1</v>
      </c>
      <c r="E3" s="74"/>
      <c r="F3" s="73" t="s">
        <v>39</v>
      </c>
      <c r="G3" s="74"/>
      <c r="H3" s="37" t="s">
        <v>40</v>
      </c>
      <c r="I3" s="37"/>
      <c r="J3" s="71" t="s">
        <v>41</v>
      </c>
      <c r="K3" s="72"/>
      <c r="L3" s="71" t="s">
        <v>42</v>
      </c>
      <c r="M3" s="72"/>
      <c r="N3" s="71" t="s">
        <v>43</v>
      </c>
      <c r="O3" s="72"/>
      <c r="P3" s="71" t="s">
        <v>2</v>
      </c>
      <c r="Q3" s="72"/>
      <c r="R3" s="71" t="s">
        <v>3</v>
      </c>
      <c r="S3" s="72"/>
      <c r="T3" s="75" t="s">
        <v>4</v>
      </c>
      <c r="U3" s="76"/>
      <c r="V3" s="71" t="s">
        <v>5</v>
      </c>
      <c r="W3" s="77"/>
      <c r="X3" s="71" t="s">
        <v>6</v>
      </c>
      <c r="Y3" s="72"/>
      <c r="Z3" s="3"/>
      <c r="AA3" s="95"/>
    </row>
    <row r="4" spans="1:27">
      <c r="A4" s="8"/>
      <c r="B4" s="9" t="s">
        <v>7</v>
      </c>
      <c r="C4" s="9" t="s">
        <v>8</v>
      </c>
      <c r="D4" s="10" t="s">
        <v>9</v>
      </c>
      <c r="E4" s="10" t="s">
        <v>10</v>
      </c>
      <c r="F4" s="10" t="s">
        <v>9</v>
      </c>
      <c r="G4" s="10" t="s">
        <v>10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18" t="s">
        <v>11</v>
      </c>
      <c r="W4" s="19" t="s">
        <v>12</v>
      </c>
      <c r="X4" s="18" t="s">
        <v>11</v>
      </c>
      <c r="Y4" s="19" t="s">
        <v>12</v>
      </c>
      <c r="Z4" s="3"/>
      <c r="AA4" s="95"/>
    </row>
    <row r="5" spans="1:27">
      <c r="A5" s="11">
        <v>1</v>
      </c>
      <c r="B5" s="12" t="s">
        <v>13</v>
      </c>
      <c r="C5" s="13">
        <v>0.99</v>
      </c>
      <c r="D5" s="14"/>
      <c r="E5" s="11">
        <f>D5*C5</f>
        <v>0</v>
      </c>
      <c r="F5" s="14"/>
      <c r="G5" s="11">
        <f>F5*C5</f>
        <v>0</v>
      </c>
      <c r="H5" s="11"/>
      <c r="I5" s="11">
        <f>C5*H5</f>
        <v>0</v>
      </c>
      <c r="J5" s="26"/>
      <c r="K5" s="11">
        <f>J5*C5</f>
        <v>0</v>
      </c>
      <c r="L5" s="26"/>
      <c r="M5" s="11">
        <f>L5*A5</f>
        <v>0</v>
      </c>
      <c r="N5" s="26"/>
      <c r="O5" s="11">
        <f>N5*C5</f>
        <v>0</v>
      </c>
      <c r="P5" s="26"/>
      <c r="Q5" s="11">
        <f>P5*C5</f>
        <v>0</v>
      </c>
      <c r="R5" s="11"/>
      <c r="S5" s="11">
        <f>R5*C5</f>
        <v>0</v>
      </c>
      <c r="T5" s="26"/>
      <c r="U5" s="11">
        <f>T5*C5</f>
        <v>0</v>
      </c>
      <c r="V5" s="11"/>
      <c r="W5" s="11">
        <f>V5*C5</f>
        <v>0</v>
      </c>
      <c r="X5" s="20">
        <f>D5+F5+H5+J5+L5+N5+P5+R5+T5+V5</f>
        <v>0</v>
      </c>
      <c r="Y5" s="11">
        <f>X5*C5</f>
        <v>0</v>
      </c>
      <c r="Z5" s="3"/>
      <c r="AA5" s="39"/>
    </row>
    <row r="6" spans="1:27">
      <c r="A6" s="11">
        <v>2</v>
      </c>
      <c r="B6" s="12" t="s">
        <v>14</v>
      </c>
      <c r="C6" s="13">
        <v>2.29</v>
      </c>
      <c r="D6" s="14"/>
      <c r="E6" s="11">
        <f t="shared" ref="E6:E19" si="0">D6*C6</f>
        <v>0</v>
      </c>
      <c r="F6" s="14"/>
      <c r="G6" s="11">
        <f t="shared" ref="G6:G20" si="1">F6*C6</f>
        <v>0</v>
      </c>
      <c r="H6" s="11"/>
      <c r="I6" s="11">
        <f t="shared" ref="I6:I19" si="2">C6*H6</f>
        <v>0</v>
      </c>
      <c r="J6" s="26"/>
      <c r="K6" s="11">
        <f t="shared" ref="K6:K21" si="3">J6*C6</f>
        <v>0</v>
      </c>
      <c r="L6" s="26"/>
      <c r="M6" s="11">
        <f t="shared" ref="M6:M19" si="4">L6*A6</f>
        <v>0</v>
      </c>
      <c r="N6" s="26"/>
      <c r="O6" s="11">
        <f t="shared" ref="O6:O21" si="5">N6*C6</f>
        <v>0</v>
      </c>
      <c r="P6" s="26"/>
      <c r="Q6" s="11">
        <f t="shared" ref="Q6:Q21" si="6">P6*C6</f>
        <v>0</v>
      </c>
      <c r="R6" s="11"/>
      <c r="S6" s="11">
        <f t="shared" ref="S6:S21" si="7">R6*C6</f>
        <v>0</v>
      </c>
      <c r="T6" s="26"/>
      <c r="U6" s="11">
        <f t="shared" ref="U6:U21" si="8">T6*C6</f>
        <v>0</v>
      </c>
      <c r="V6" s="11"/>
      <c r="W6" s="11">
        <f t="shared" ref="W6:W19" si="9">V6*C6</f>
        <v>0</v>
      </c>
      <c r="X6" s="20">
        <f t="shared" ref="X6:X19" si="10">D6+F6+H6+J6+L6+N6+P6+R6+T6+V6</f>
        <v>0</v>
      </c>
      <c r="Y6" s="11">
        <f t="shared" ref="Y6:Y19" si="11">X6*C6</f>
        <v>0</v>
      </c>
      <c r="Z6" s="3"/>
      <c r="AA6" s="39"/>
    </row>
    <row r="7" spans="1:27">
      <c r="A7" s="11">
        <v>3</v>
      </c>
      <c r="B7" s="12" t="s">
        <v>15</v>
      </c>
      <c r="C7" s="13">
        <v>3.66</v>
      </c>
      <c r="D7" s="14"/>
      <c r="E7" s="11">
        <f t="shared" si="0"/>
        <v>0</v>
      </c>
      <c r="F7" s="14"/>
      <c r="G7" s="11">
        <f t="shared" si="1"/>
        <v>0</v>
      </c>
      <c r="H7" s="11"/>
      <c r="I7" s="11">
        <f t="shared" si="2"/>
        <v>0</v>
      </c>
      <c r="J7" s="26"/>
      <c r="K7" s="11">
        <f t="shared" si="3"/>
        <v>0</v>
      </c>
      <c r="L7" s="26"/>
      <c r="M7" s="11">
        <f t="shared" si="4"/>
        <v>0</v>
      </c>
      <c r="N7" s="26"/>
      <c r="O7" s="11">
        <f t="shared" si="5"/>
        <v>0</v>
      </c>
      <c r="P7" s="26"/>
      <c r="Q7" s="11">
        <f t="shared" si="6"/>
        <v>0</v>
      </c>
      <c r="R7" s="11"/>
      <c r="S7" s="11">
        <f t="shared" si="7"/>
        <v>0</v>
      </c>
      <c r="T7" s="26"/>
      <c r="U7" s="11">
        <f t="shared" si="8"/>
        <v>0</v>
      </c>
      <c r="V7" s="11"/>
      <c r="W7" s="11">
        <f t="shared" si="9"/>
        <v>0</v>
      </c>
      <c r="X7" s="20">
        <f t="shared" si="10"/>
        <v>0</v>
      </c>
      <c r="Y7" s="11">
        <f t="shared" si="11"/>
        <v>0</v>
      </c>
      <c r="Z7" s="3"/>
      <c r="AA7" s="39"/>
    </row>
    <row r="8" spans="1:27">
      <c r="A8" s="11">
        <v>4</v>
      </c>
      <c r="B8" s="12" t="s">
        <v>16</v>
      </c>
      <c r="C8" s="13">
        <v>2.81</v>
      </c>
      <c r="D8" s="14"/>
      <c r="E8" s="11">
        <f t="shared" si="0"/>
        <v>0</v>
      </c>
      <c r="F8" s="14"/>
      <c r="G8" s="11">
        <f t="shared" si="1"/>
        <v>0</v>
      </c>
      <c r="H8" s="11"/>
      <c r="I8" s="11">
        <f t="shared" si="2"/>
        <v>0</v>
      </c>
      <c r="J8" s="26"/>
      <c r="K8" s="11">
        <f t="shared" si="3"/>
        <v>0</v>
      </c>
      <c r="L8" s="26"/>
      <c r="M8" s="11">
        <f t="shared" si="4"/>
        <v>0</v>
      </c>
      <c r="N8" s="26"/>
      <c r="O8" s="11">
        <f t="shared" si="5"/>
        <v>0</v>
      </c>
      <c r="P8" s="26"/>
      <c r="Q8" s="11">
        <f t="shared" si="6"/>
        <v>0</v>
      </c>
      <c r="R8" s="11"/>
      <c r="S8" s="11">
        <f t="shared" si="7"/>
        <v>0</v>
      </c>
      <c r="T8" s="26"/>
      <c r="U8" s="11">
        <f t="shared" si="8"/>
        <v>0</v>
      </c>
      <c r="V8" s="11"/>
      <c r="W8" s="11">
        <f t="shared" si="9"/>
        <v>0</v>
      </c>
      <c r="X8" s="20">
        <f t="shared" si="10"/>
        <v>0</v>
      </c>
      <c r="Y8" s="11">
        <f t="shared" si="11"/>
        <v>0</v>
      </c>
      <c r="Z8" s="3"/>
      <c r="AA8" s="39"/>
    </row>
    <row r="9" spans="1:27">
      <c r="A9" s="11">
        <v>5</v>
      </c>
      <c r="B9" s="12" t="s">
        <v>17</v>
      </c>
      <c r="C9" s="13">
        <v>3.46</v>
      </c>
      <c r="D9" s="14"/>
      <c r="E9" s="11">
        <f t="shared" si="0"/>
        <v>0</v>
      </c>
      <c r="F9" s="14"/>
      <c r="G9" s="11">
        <f t="shared" si="1"/>
        <v>0</v>
      </c>
      <c r="H9" s="11"/>
      <c r="I9" s="11">
        <f t="shared" si="2"/>
        <v>0</v>
      </c>
      <c r="J9" s="26"/>
      <c r="K9" s="11">
        <f t="shared" si="3"/>
        <v>0</v>
      </c>
      <c r="L9" s="26"/>
      <c r="M9" s="11">
        <f t="shared" si="4"/>
        <v>0</v>
      </c>
      <c r="N9" s="26"/>
      <c r="O9" s="11">
        <f t="shared" si="5"/>
        <v>0</v>
      </c>
      <c r="P9" s="26"/>
      <c r="Q9" s="11">
        <f t="shared" si="6"/>
        <v>0</v>
      </c>
      <c r="R9" s="11"/>
      <c r="S9" s="11">
        <f t="shared" si="7"/>
        <v>0</v>
      </c>
      <c r="T9" s="26"/>
      <c r="U9" s="11">
        <f t="shared" si="8"/>
        <v>0</v>
      </c>
      <c r="V9" s="11"/>
      <c r="W9" s="11">
        <f t="shared" si="9"/>
        <v>0</v>
      </c>
      <c r="X9" s="20">
        <f t="shared" si="10"/>
        <v>0</v>
      </c>
      <c r="Y9" s="11">
        <f t="shared" si="11"/>
        <v>0</v>
      </c>
      <c r="Z9" s="3"/>
      <c r="AA9" s="39"/>
    </row>
    <row r="10" spans="1:27">
      <c r="A10" s="11">
        <v>6</v>
      </c>
      <c r="B10" s="12" t="s">
        <v>18</v>
      </c>
      <c r="C10" s="13">
        <v>1.06</v>
      </c>
      <c r="D10" s="14"/>
      <c r="E10" s="11">
        <f t="shared" si="0"/>
        <v>0</v>
      </c>
      <c r="F10" s="14"/>
      <c r="G10" s="11">
        <f t="shared" si="1"/>
        <v>0</v>
      </c>
      <c r="H10" s="11"/>
      <c r="I10" s="11">
        <f t="shared" si="2"/>
        <v>0</v>
      </c>
      <c r="J10" s="26"/>
      <c r="K10" s="11">
        <f t="shared" si="3"/>
        <v>0</v>
      </c>
      <c r="L10" s="26"/>
      <c r="M10" s="11">
        <f t="shared" si="4"/>
        <v>0</v>
      </c>
      <c r="N10" s="26"/>
      <c r="O10" s="11">
        <f t="shared" si="5"/>
        <v>0</v>
      </c>
      <c r="P10" s="26"/>
      <c r="Q10" s="11">
        <f t="shared" si="6"/>
        <v>0</v>
      </c>
      <c r="R10" s="11"/>
      <c r="S10" s="11">
        <f t="shared" si="7"/>
        <v>0</v>
      </c>
      <c r="T10" s="26"/>
      <c r="U10" s="11">
        <f t="shared" si="8"/>
        <v>0</v>
      </c>
      <c r="V10" s="11"/>
      <c r="W10" s="11">
        <f t="shared" si="9"/>
        <v>0</v>
      </c>
      <c r="X10" s="20">
        <f t="shared" si="10"/>
        <v>0</v>
      </c>
      <c r="Y10" s="11">
        <f t="shared" si="11"/>
        <v>0</v>
      </c>
      <c r="Z10" s="3"/>
      <c r="AA10" s="39"/>
    </row>
    <row r="11" spans="1:27">
      <c r="A11" s="11">
        <v>7</v>
      </c>
      <c r="B11" s="12" t="s">
        <v>19</v>
      </c>
      <c r="C11" s="13">
        <v>3.63</v>
      </c>
      <c r="D11" s="14"/>
      <c r="E11" s="11">
        <f>D11*C11</f>
        <v>0</v>
      </c>
      <c r="F11" s="14"/>
      <c r="G11" s="11">
        <f t="shared" si="1"/>
        <v>0</v>
      </c>
      <c r="H11" s="11"/>
      <c r="I11" s="11">
        <f t="shared" si="2"/>
        <v>0</v>
      </c>
      <c r="J11" s="26"/>
      <c r="K11" s="11">
        <f t="shared" si="3"/>
        <v>0</v>
      </c>
      <c r="L11" s="26"/>
      <c r="M11" s="11">
        <f t="shared" si="4"/>
        <v>0</v>
      </c>
      <c r="N11" s="26"/>
      <c r="O11" s="11">
        <f t="shared" si="5"/>
        <v>0</v>
      </c>
      <c r="P11" s="26"/>
      <c r="Q11" s="11">
        <f t="shared" si="6"/>
        <v>0</v>
      </c>
      <c r="R11" s="11"/>
      <c r="S11" s="11">
        <f t="shared" si="7"/>
        <v>0</v>
      </c>
      <c r="T11" s="26"/>
      <c r="U11" s="11">
        <f t="shared" si="8"/>
        <v>0</v>
      </c>
      <c r="V11" s="11"/>
      <c r="W11" s="11">
        <f t="shared" si="9"/>
        <v>0</v>
      </c>
      <c r="X11" s="20">
        <f t="shared" si="10"/>
        <v>0</v>
      </c>
      <c r="Y11" s="11">
        <f t="shared" si="11"/>
        <v>0</v>
      </c>
      <c r="Z11" s="3"/>
      <c r="AA11" s="39"/>
    </row>
    <row r="12" spans="1:27">
      <c r="A12" s="11">
        <v>8</v>
      </c>
      <c r="B12" s="12" t="s">
        <v>20</v>
      </c>
      <c r="C12" s="13">
        <v>0.85</v>
      </c>
      <c r="D12" s="14"/>
      <c r="E12" s="11">
        <f t="shared" si="0"/>
        <v>0</v>
      </c>
      <c r="F12" s="14"/>
      <c r="G12" s="11">
        <f t="shared" si="1"/>
        <v>0</v>
      </c>
      <c r="H12" s="11"/>
      <c r="I12" s="11">
        <f t="shared" si="2"/>
        <v>0</v>
      </c>
      <c r="J12" s="26"/>
      <c r="K12" s="11">
        <f t="shared" si="3"/>
        <v>0</v>
      </c>
      <c r="L12" s="26"/>
      <c r="M12" s="11">
        <f t="shared" si="4"/>
        <v>0</v>
      </c>
      <c r="N12" s="26"/>
      <c r="O12" s="11">
        <f t="shared" si="5"/>
        <v>0</v>
      </c>
      <c r="P12" s="26"/>
      <c r="Q12" s="11">
        <f t="shared" si="6"/>
        <v>0</v>
      </c>
      <c r="R12" s="11"/>
      <c r="S12" s="11">
        <f t="shared" si="7"/>
        <v>0</v>
      </c>
      <c r="T12" s="26"/>
      <c r="U12" s="11">
        <f t="shared" si="8"/>
        <v>0</v>
      </c>
      <c r="V12" s="11"/>
      <c r="W12" s="11">
        <f t="shared" si="9"/>
        <v>0</v>
      </c>
      <c r="X12" s="20">
        <f t="shared" si="10"/>
        <v>0</v>
      </c>
      <c r="Y12" s="11">
        <f t="shared" si="11"/>
        <v>0</v>
      </c>
      <c r="Z12" s="3"/>
      <c r="AA12" s="39"/>
    </row>
    <row r="13" spans="1:27" ht="15" customHeight="1">
      <c r="A13" s="11">
        <v>9</v>
      </c>
      <c r="B13" s="12" t="s">
        <v>21</v>
      </c>
      <c r="C13" s="13">
        <v>1.98</v>
      </c>
      <c r="D13" s="14"/>
      <c r="E13" s="11">
        <f t="shared" si="0"/>
        <v>0</v>
      </c>
      <c r="F13" s="14"/>
      <c r="G13" s="11">
        <f t="shared" si="1"/>
        <v>0</v>
      </c>
      <c r="H13" s="11"/>
      <c r="I13" s="11">
        <f t="shared" si="2"/>
        <v>0</v>
      </c>
      <c r="J13" s="26"/>
      <c r="K13" s="11">
        <f t="shared" si="3"/>
        <v>0</v>
      </c>
      <c r="L13" s="26"/>
      <c r="M13" s="11">
        <f t="shared" si="4"/>
        <v>0</v>
      </c>
      <c r="N13" s="26"/>
      <c r="O13" s="11">
        <f t="shared" si="5"/>
        <v>0</v>
      </c>
      <c r="P13" s="26"/>
      <c r="Q13" s="11">
        <f t="shared" si="6"/>
        <v>0</v>
      </c>
      <c r="R13" s="11"/>
      <c r="S13" s="11">
        <f t="shared" si="7"/>
        <v>0</v>
      </c>
      <c r="T13" s="26"/>
      <c r="U13" s="11">
        <f t="shared" si="8"/>
        <v>0</v>
      </c>
      <c r="V13" s="11"/>
      <c r="W13" s="11">
        <f t="shared" si="9"/>
        <v>0</v>
      </c>
      <c r="X13" s="20">
        <f t="shared" si="10"/>
        <v>0</v>
      </c>
      <c r="Y13" s="11">
        <f t="shared" si="11"/>
        <v>0</v>
      </c>
      <c r="Z13" s="3"/>
      <c r="AA13" s="39"/>
    </row>
    <row r="14" spans="1:27">
      <c r="A14" s="11">
        <v>10</v>
      </c>
      <c r="B14" s="15" t="s">
        <v>22</v>
      </c>
      <c r="C14" s="13">
        <v>1.98</v>
      </c>
      <c r="D14" s="14"/>
      <c r="E14" s="11">
        <f t="shared" si="0"/>
        <v>0</v>
      </c>
      <c r="F14" s="14"/>
      <c r="G14" s="11">
        <f t="shared" si="1"/>
        <v>0</v>
      </c>
      <c r="H14" s="11"/>
      <c r="I14" s="11">
        <f t="shared" si="2"/>
        <v>0</v>
      </c>
      <c r="J14" s="26"/>
      <c r="K14" s="11">
        <f t="shared" si="3"/>
        <v>0</v>
      </c>
      <c r="L14" s="26"/>
      <c r="M14" s="11">
        <f t="shared" si="4"/>
        <v>0</v>
      </c>
      <c r="N14" s="26"/>
      <c r="O14" s="11">
        <f t="shared" si="5"/>
        <v>0</v>
      </c>
      <c r="P14" s="26"/>
      <c r="Q14" s="11">
        <f t="shared" si="6"/>
        <v>0</v>
      </c>
      <c r="R14" s="11"/>
      <c r="S14" s="11">
        <f t="shared" si="7"/>
        <v>0</v>
      </c>
      <c r="T14" s="26"/>
      <c r="U14" s="11">
        <f t="shared" si="8"/>
        <v>0</v>
      </c>
      <c r="V14" s="11"/>
      <c r="W14" s="11">
        <f t="shared" si="9"/>
        <v>0</v>
      </c>
      <c r="X14" s="20">
        <f t="shared" si="10"/>
        <v>0</v>
      </c>
      <c r="Y14" s="11">
        <f t="shared" si="11"/>
        <v>0</v>
      </c>
      <c r="Z14" s="3"/>
      <c r="AA14" s="39"/>
    </row>
    <row r="15" spans="1:27" ht="13.5" customHeight="1">
      <c r="A15" s="11">
        <v>11</v>
      </c>
      <c r="B15" s="12" t="s">
        <v>23</v>
      </c>
      <c r="C15" s="13">
        <v>4.6900000000000004</v>
      </c>
      <c r="D15" s="14"/>
      <c r="E15" s="11">
        <f t="shared" si="0"/>
        <v>0</v>
      </c>
      <c r="F15" s="14"/>
      <c r="G15" s="11">
        <f t="shared" si="1"/>
        <v>0</v>
      </c>
      <c r="H15" s="32"/>
      <c r="I15" s="11">
        <f t="shared" si="2"/>
        <v>0</v>
      </c>
      <c r="J15" s="26"/>
      <c r="K15" s="11">
        <f t="shared" si="3"/>
        <v>0</v>
      </c>
      <c r="L15" s="26"/>
      <c r="M15" s="11">
        <f t="shared" si="4"/>
        <v>0</v>
      </c>
      <c r="N15" s="26"/>
      <c r="O15" s="11">
        <f t="shared" si="5"/>
        <v>0</v>
      </c>
      <c r="P15" s="26"/>
      <c r="Q15" s="11">
        <f t="shared" si="6"/>
        <v>0</v>
      </c>
      <c r="R15" s="32"/>
      <c r="S15" s="11">
        <f t="shared" si="7"/>
        <v>0</v>
      </c>
      <c r="T15" s="38"/>
      <c r="U15" s="11">
        <f t="shared" si="8"/>
        <v>0</v>
      </c>
      <c r="V15" s="32"/>
      <c r="W15" s="11">
        <f t="shared" si="9"/>
        <v>0</v>
      </c>
      <c r="X15" s="20">
        <f t="shared" si="10"/>
        <v>0</v>
      </c>
      <c r="Y15" s="11">
        <f t="shared" si="11"/>
        <v>0</v>
      </c>
      <c r="Z15" s="3"/>
      <c r="AA15" s="39"/>
    </row>
    <row r="16" spans="1:27">
      <c r="A16" s="11">
        <v>12</v>
      </c>
      <c r="B16" s="12" t="s">
        <v>24</v>
      </c>
      <c r="C16" s="13">
        <v>2.9</v>
      </c>
      <c r="D16" s="14"/>
      <c r="E16" s="11">
        <f t="shared" si="0"/>
        <v>0</v>
      </c>
      <c r="F16" s="14"/>
      <c r="G16" s="11">
        <f t="shared" si="1"/>
        <v>0</v>
      </c>
      <c r="H16" s="32"/>
      <c r="I16" s="11">
        <f t="shared" si="2"/>
        <v>0</v>
      </c>
      <c r="J16" s="26"/>
      <c r="K16" s="11">
        <f t="shared" si="3"/>
        <v>0</v>
      </c>
      <c r="L16" s="26"/>
      <c r="M16" s="11">
        <f t="shared" si="4"/>
        <v>0</v>
      </c>
      <c r="N16" s="26"/>
      <c r="O16" s="11">
        <f t="shared" si="5"/>
        <v>0</v>
      </c>
      <c r="P16" s="26"/>
      <c r="Q16" s="11">
        <f t="shared" si="6"/>
        <v>0</v>
      </c>
      <c r="R16" s="32"/>
      <c r="S16" s="11">
        <f t="shared" si="7"/>
        <v>0</v>
      </c>
      <c r="T16" s="38"/>
      <c r="U16" s="11">
        <f t="shared" si="8"/>
        <v>0</v>
      </c>
      <c r="V16" s="32"/>
      <c r="W16" s="11">
        <f t="shared" si="9"/>
        <v>0</v>
      </c>
      <c r="X16" s="20">
        <f t="shared" si="10"/>
        <v>0</v>
      </c>
      <c r="Y16" s="11">
        <f t="shared" si="11"/>
        <v>0</v>
      </c>
      <c r="Z16" s="3"/>
      <c r="AA16" s="39"/>
    </row>
    <row r="17" spans="1:27">
      <c r="A17" s="11">
        <v>13</v>
      </c>
      <c r="B17" s="12" t="s">
        <v>55</v>
      </c>
      <c r="C17" s="13">
        <v>1.9</v>
      </c>
      <c r="D17" s="14">
        <v>0</v>
      </c>
      <c r="E17" s="11">
        <f>D17*C17</f>
        <v>0</v>
      </c>
      <c r="F17" s="14">
        <v>0</v>
      </c>
      <c r="G17" s="11">
        <f t="shared" si="1"/>
        <v>0</v>
      </c>
      <c r="H17" s="14">
        <v>0</v>
      </c>
      <c r="I17" s="11">
        <f>H17*C17</f>
        <v>0</v>
      </c>
      <c r="J17" s="14">
        <v>0</v>
      </c>
      <c r="K17" s="11">
        <f t="shared" si="3"/>
        <v>0</v>
      </c>
      <c r="L17" s="14">
        <v>0</v>
      </c>
      <c r="M17" s="11">
        <f>L17*C17</f>
        <v>0</v>
      </c>
      <c r="N17" s="14">
        <v>0</v>
      </c>
      <c r="O17" s="11">
        <f t="shared" si="5"/>
        <v>0</v>
      </c>
      <c r="P17" s="32"/>
      <c r="Q17" s="11">
        <f t="shared" si="6"/>
        <v>0</v>
      </c>
      <c r="R17" s="32">
        <v>0</v>
      </c>
      <c r="S17" s="11">
        <f t="shared" si="7"/>
        <v>0</v>
      </c>
      <c r="T17" s="26"/>
      <c r="U17" s="11"/>
      <c r="V17" s="3"/>
    </row>
    <row r="18" spans="1:27">
      <c r="A18" s="11">
        <v>14</v>
      </c>
      <c r="B18" s="12" t="s">
        <v>56</v>
      </c>
      <c r="C18" s="13">
        <v>2.4</v>
      </c>
      <c r="D18" s="14">
        <v>0</v>
      </c>
      <c r="E18" s="11">
        <f>D18*C18</f>
        <v>0</v>
      </c>
      <c r="F18" s="14">
        <v>0</v>
      </c>
      <c r="G18" s="11">
        <f t="shared" si="1"/>
        <v>0</v>
      </c>
      <c r="H18" s="14">
        <v>0</v>
      </c>
      <c r="I18" s="11">
        <f>H18*C18</f>
        <v>0</v>
      </c>
      <c r="J18" s="14">
        <v>0</v>
      </c>
      <c r="K18" s="11">
        <f t="shared" si="3"/>
        <v>0</v>
      </c>
      <c r="L18" s="14">
        <v>0</v>
      </c>
      <c r="M18" s="11">
        <f>L18*C18</f>
        <v>0</v>
      </c>
      <c r="N18" s="14">
        <v>0</v>
      </c>
      <c r="O18" s="11">
        <f t="shared" si="5"/>
        <v>0</v>
      </c>
      <c r="P18" s="32"/>
      <c r="Q18" s="11">
        <f t="shared" si="6"/>
        <v>0</v>
      </c>
      <c r="R18" s="32">
        <v>0</v>
      </c>
      <c r="S18" s="11">
        <f t="shared" si="7"/>
        <v>0</v>
      </c>
      <c r="T18" s="26"/>
      <c r="U18" s="11"/>
      <c r="V18" s="3"/>
    </row>
    <row r="19" spans="1:27" ht="23.15" customHeight="1">
      <c r="A19" s="11">
        <v>13</v>
      </c>
      <c r="B19" s="12" t="s">
        <v>25</v>
      </c>
      <c r="C19" s="13">
        <v>1.5</v>
      </c>
      <c r="D19" s="31"/>
      <c r="E19" s="11">
        <f t="shared" si="0"/>
        <v>0</v>
      </c>
      <c r="F19" s="31"/>
      <c r="G19" s="11">
        <f t="shared" si="1"/>
        <v>0</v>
      </c>
      <c r="H19" s="32"/>
      <c r="I19" s="11">
        <f t="shared" si="2"/>
        <v>0</v>
      </c>
      <c r="J19" s="38"/>
      <c r="K19" s="11">
        <f t="shared" si="3"/>
        <v>0</v>
      </c>
      <c r="L19" s="38"/>
      <c r="M19" s="11">
        <f t="shared" si="4"/>
        <v>0</v>
      </c>
      <c r="N19" s="38"/>
      <c r="O19" s="11">
        <f t="shared" si="5"/>
        <v>0</v>
      </c>
      <c r="P19" s="38"/>
      <c r="Q19" s="11">
        <f t="shared" si="6"/>
        <v>0</v>
      </c>
      <c r="R19" s="32"/>
      <c r="S19" s="11">
        <f t="shared" si="7"/>
        <v>0</v>
      </c>
      <c r="T19" s="38"/>
      <c r="U19" s="11">
        <f t="shared" si="8"/>
        <v>0</v>
      </c>
      <c r="V19" s="32"/>
      <c r="W19" s="11">
        <f t="shared" si="9"/>
        <v>0</v>
      </c>
      <c r="X19" s="20">
        <f t="shared" si="10"/>
        <v>0</v>
      </c>
      <c r="Y19" s="11">
        <f t="shared" si="11"/>
        <v>0</v>
      </c>
      <c r="Z19" s="3"/>
      <c r="AA19" s="39"/>
    </row>
    <row r="20" spans="1:27">
      <c r="A20" s="11">
        <v>16</v>
      </c>
      <c r="B20" s="12" t="s">
        <v>58</v>
      </c>
      <c r="C20" s="13">
        <v>5.38</v>
      </c>
      <c r="D20" s="14">
        <v>0</v>
      </c>
      <c r="E20" s="11">
        <f>D20*C20</f>
        <v>0</v>
      </c>
      <c r="F20" s="14"/>
      <c r="G20" s="11">
        <f t="shared" si="1"/>
        <v>0</v>
      </c>
      <c r="H20" s="14">
        <v>0</v>
      </c>
      <c r="I20" s="11">
        <f>H20*C20</f>
        <v>0</v>
      </c>
      <c r="J20" s="14"/>
      <c r="K20" s="11">
        <f t="shared" si="3"/>
        <v>0</v>
      </c>
      <c r="L20" s="14">
        <v>0</v>
      </c>
      <c r="M20" s="26">
        <f>L20*C20</f>
        <v>0</v>
      </c>
      <c r="N20" s="14">
        <v>0</v>
      </c>
      <c r="O20" s="11">
        <f t="shared" si="5"/>
        <v>0</v>
      </c>
      <c r="P20" s="32"/>
      <c r="Q20" s="11">
        <f t="shared" si="6"/>
        <v>0</v>
      </c>
      <c r="R20" s="32">
        <v>0</v>
      </c>
      <c r="S20" s="11">
        <f t="shared" si="7"/>
        <v>0</v>
      </c>
      <c r="T20" s="26">
        <f>D20+F20+H20+J20+L20+N20+P20+R20</f>
        <v>0</v>
      </c>
      <c r="U20" s="11">
        <f t="shared" si="8"/>
        <v>0</v>
      </c>
      <c r="V20" s="3"/>
    </row>
    <row r="21" spans="1:27" ht="15" thickBot="1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/>
      <c r="G21" s="11">
        <f>F21*A21</f>
        <v>0</v>
      </c>
      <c r="H21" s="32">
        <v>0</v>
      </c>
      <c r="I21" s="11">
        <f>H21*C21</f>
        <v>0</v>
      </c>
      <c r="J21" s="32"/>
      <c r="K21" s="11">
        <f t="shared" si="3"/>
        <v>0</v>
      </c>
      <c r="L21" s="38">
        <v>0</v>
      </c>
      <c r="M21" s="26">
        <f>L21*C21</f>
        <v>0</v>
      </c>
      <c r="N21" s="26">
        <v>0</v>
      </c>
      <c r="O21" s="26">
        <f t="shared" si="5"/>
        <v>0</v>
      </c>
      <c r="P21" s="32"/>
      <c r="Q21" s="11">
        <f t="shared" si="6"/>
        <v>0</v>
      </c>
      <c r="R21" s="32">
        <v>0</v>
      </c>
      <c r="S21" s="11">
        <f t="shared" si="7"/>
        <v>0</v>
      </c>
      <c r="T21" s="26">
        <f>D21+F21+H21+J21+L21+N21+P21+R21</f>
        <v>0</v>
      </c>
      <c r="U21" s="11">
        <f t="shared" si="8"/>
        <v>0</v>
      </c>
      <c r="V21" s="3"/>
    </row>
    <row r="22" spans="1:27" ht="23.15" customHeight="1" thickBot="1">
      <c r="A22" s="16"/>
      <c r="B22" s="17" t="s">
        <v>6</v>
      </c>
      <c r="C22" s="17"/>
      <c r="D22" s="17"/>
      <c r="E22" s="17">
        <f>SUM(E5:E19)</f>
        <v>0</v>
      </c>
      <c r="F22" s="17"/>
      <c r="G22" s="17">
        <f>SUM(G5:G19)</f>
        <v>0</v>
      </c>
      <c r="H22" s="17"/>
      <c r="I22" s="17"/>
      <c r="J22" s="17"/>
      <c r="K22" s="17">
        <f>SUM(K5:K19)</f>
        <v>0</v>
      </c>
      <c r="L22" s="17"/>
      <c r="M22" s="17"/>
      <c r="N22" s="17"/>
      <c r="O22" s="17"/>
      <c r="P22" s="17"/>
      <c r="Q22" s="17">
        <f>SUM(Q5:Q19)</f>
        <v>0</v>
      </c>
      <c r="R22" s="17"/>
      <c r="S22" s="17">
        <f>SUM(S5:S19)</f>
        <v>0</v>
      </c>
      <c r="T22" s="27">
        <v>0</v>
      </c>
      <c r="U22" s="17">
        <f>SUM(U5:U19)</f>
        <v>0</v>
      </c>
      <c r="V22" s="17"/>
      <c r="W22" s="17">
        <f>SUM(W5:W19)</f>
        <v>0</v>
      </c>
      <c r="X22" s="17"/>
      <c r="Y22" s="21">
        <f>E22+G22+I22+K22+M22+O22+Q22+S22+U22+W22</f>
        <v>0</v>
      </c>
      <c r="Z22" s="3"/>
    </row>
    <row r="23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 t="s">
        <v>26</v>
      </c>
      <c r="E24" s="3"/>
      <c r="F24" s="3" t="s">
        <v>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J28" s="3"/>
      <c r="P28" s="3"/>
    </row>
    <row r="29" spans="1:27">
      <c r="J29" s="3"/>
      <c r="P29" s="3"/>
    </row>
    <row r="30" spans="1:27">
      <c r="J30" s="3"/>
      <c r="P30" s="3"/>
    </row>
    <row r="31" spans="1:27">
      <c r="J31" s="3"/>
      <c r="P31" s="3"/>
    </row>
    <row r="32" spans="1:27">
      <c r="J32" s="3"/>
      <c r="P32" s="3"/>
    </row>
    <row r="33" spans="10:16">
      <c r="J33" s="3"/>
      <c r="P33" s="3"/>
    </row>
    <row r="34" spans="10:16">
      <c r="J34" s="3"/>
      <c r="P34" s="3"/>
    </row>
    <row r="35" spans="10:16">
      <c r="J35" s="3"/>
      <c r="P35" s="3"/>
    </row>
    <row r="36" spans="10:16">
      <c r="J36" s="3"/>
      <c r="P36" s="3"/>
    </row>
    <row r="37" spans="10:16">
      <c r="J37" s="3"/>
      <c r="P37" s="3"/>
    </row>
  </sheetData>
  <mergeCells count="11">
    <mergeCell ref="D3:E3"/>
    <mergeCell ref="F3:G3"/>
    <mergeCell ref="J3:K3"/>
    <mergeCell ref="L3:M3"/>
    <mergeCell ref="N3:O3"/>
    <mergeCell ref="AA2:AA4"/>
    <mergeCell ref="P3:Q3"/>
    <mergeCell ref="R3:S3"/>
    <mergeCell ref="T3:U3"/>
    <mergeCell ref="V3:W3"/>
    <mergeCell ref="X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zoomScale="83" zoomScaleNormal="83" workbookViewId="0">
      <selection activeCell="P16" sqref="P16"/>
    </sheetView>
  </sheetViews>
  <sheetFormatPr baseColWidth="10" defaultColWidth="14.453125" defaultRowHeight="14.5"/>
  <cols>
    <col min="1" max="1" width="11.453125" style="22" customWidth="1"/>
    <col min="2" max="2" width="22.54296875" style="22" customWidth="1"/>
    <col min="3" max="3" width="15.1796875" style="22" customWidth="1"/>
    <col min="4" max="26" width="9.54296875" style="22" customWidth="1"/>
    <col min="27" max="27" width="8.7265625" style="22" customWidth="1"/>
    <col min="28" max="16384" width="14.453125" style="2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" thickBot="1">
      <c r="A2" s="1" t="s">
        <v>0</v>
      </c>
      <c r="B2" s="2">
        <v>45597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95"/>
    </row>
    <row r="3" spans="1:27" ht="15" customHeight="1">
      <c r="A3" s="4"/>
      <c r="B3" s="5"/>
      <c r="C3" s="6"/>
      <c r="D3" s="73" t="s">
        <v>60</v>
      </c>
      <c r="E3" s="74"/>
      <c r="F3" s="73" t="s">
        <v>39</v>
      </c>
      <c r="G3" s="74"/>
      <c r="H3" s="96" t="s">
        <v>40</v>
      </c>
      <c r="I3" s="97"/>
      <c r="J3" s="71" t="s">
        <v>41</v>
      </c>
      <c r="K3" s="72"/>
      <c r="L3" s="71" t="s">
        <v>54</v>
      </c>
      <c r="M3" s="72"/>
      <c r="N3" s="71" t="s">
        <v>43</v>
      </c>
      <c r="O3" s="72"/>
      <c r="P3" s="71" t="s">
        <v>2</v>
      </c>
      <c r="Q3" s="72"/>
      <c r="R3" s="71" t="s">
        <v>3</v>
      </c>
      <c r="S3" s="72"/>
      <c r="T3" s="75" t="s">
        <v>4</v>
      </c>
      <c r="U3" s="76"/>
      <c r="V3" s="71" t="s">
        <v>5</v>
      </c>
      <c r="W3" s="77"/>
      <c r="X3" s="71" t="s">
        <v>6</v>
      </c>
      <c r="Y3" s="72"/>
      <c r="Z3" s="3"/>
      <c r="AA3" s="95"/>
    </row>
    <row r="4" spans="1:27">
      <c r="A4" s="8"/>
      <c r="B4" s="9" t="s">
        <v>7</v>
      </c>
      <c r="C4" s="9" t="s">
        <v>8</v>
      </c>
      <c r="D4" s="10" t="s">
        <v>9</v>
      </c>
      <c r="E4" s="10" t="s">
        <v>10</v>
      </c>
      <c r="F4" s="10" t="s">
        <v>9</v>
      </c>
      <c r="G4" s="10" t="s">
        <v>10</v>
      </c>
      <c r="H4" s="18" t="s">
        <v>11</v>
      </c>
      <c r="I4" s="19" t="s">
        <v>12</v>
      </c>
      <c r="J4" s="18" t="s">
        <v>11</v>
      </c>
      <c r="K4" s="19" t="s">
        <v>12</v>
      </c>
      <c r="L4" s="18" t="s">
        <v>11</v>
      </c>
      <c r="M4" s="19" t="s">
        <v>12</v>
      </c>
      <c r="N4" s="18" t="s">
        <v>11</v>
      </c>
      <c r="O4" s="19" t="s">
        <v>12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18" t="s">
        <v>11</v>
      </c>
      <c r="W4" s="19" t="s">
        <v>12</v>
      </c>
      <c r="X4" s="18" t="s">
        <v>11</v>
      </c>
      <c r="Y4" s="19" t="s">
        <v>12</v>
      </c>
      <c r="Z4" s="3"/>
      <c r="AA4" s="95"/>
    </row>
    <row r="5" spans="1:27">
      <c r="A5" s="11">
        <v>1</v>
      </c>
      <c r="B5" s="12" t="s">
        <v>13</v>
      </c>
      <c r="C5" s="13">
        <v>0.99</v>
      </c>
      <c r="D5" s="14">
        <v>600</v>
      </c>
      <c r="E5" s="11">
        <f t="shared" ref="E5:E11" si="0">D5*C5</f>
        <v>594</v>
      </c>
      <c r="F5" s="14">
        <v>50</v>
      </c>
      <c r="G5" s="11">
        <f>F5*C5</f>
        <v>49.5</v>
      </c>
      <c r="H5" s="11">
        <v>69</v>
      </c>
      <c r="I5" s="11">
        <f>C5*H5</f>
        <v>68.31</v>
      </c>
      <c r="J5" s="26">
        <v>224</v>
      </c>
      <c r="K5" s="11">
        <f>J5*C5</f>
        <v>221.76</v>
      </c>
      <c r="L5" s="26">
        <v>48</v>
      </c>
      <c r="M5" s="11">
        <f>L5*C5</f>
        <v>47.519999999999996</v>
      </c>
      <c r="N5" s="26">
        <v>65</v>
      </c>
      <c r="O5" s="11">
        <f>N5*C5</f>
        <v>64.349999999999994</v>
      </c>
      <c r="P5" s="26">
        <v>400</v>
      </c>
      <c r="Q5" s="11">
        <f>P5*C5</f>
        <v>396</v>
      </c>
      <c r="R5" s="11">
        <v>300</v>
      </c>
      <c r="S5" s="11">
        <f>R5*C5</f>
        <v>297</v>
      </c>
      <c r="T5" s="26">
        <v>100</v>
      </c>
      <c r="U5" s="11">
        <f>T5*C5</f>
        <v>99</v>
      </c>
      <c r="V5" s="11">
        <v>5930</v>
      </c>
      <c r="W5" s="11">
        <f>V5*C5</f>
        <v>5870.7</v>
      </c>
      <c r="X5" s="20">
        <f>D5+F5+H5+J5+L5+N5+P5+R5+T5+V5</f>
        <v>7786</v>
      </c>
      <c r="Y5" s="11">
        <f>X5*C5</f>
        <v>7708.14</v>
      </c>
      <c r="Z5" s="3"/>
      <c r="AA5" s="39"/>
    </row>
    <row r="6" spans="1:27">
      <c r="A6" s="11">
        <v>2</v>
      </c>
      <c r="B6" s="12" t="s">
        <v>14</v>
      </c>
      <c r="C6" s="13">
        <v>2.29</v>
      </c>
      <c r="D6" s="14">
        <v>10</v>
      </c>
      <c r="E6" s="11">
        <f t="shared" si="0"/>
        <v>22.9</v>
      </c>
      <c r="F6" s="14">
        <v>0</v>
      </c>
      <c r="G6" s="11">
        <f t="shared" ref="G6:G20" si="1">F6*C6</f>
        <v>0</v>
      </c>
      <c r="H6" s="11">
        <v>0</v>
      </c>
      <c r="I6" s="11">
        <f>C6*H6</f>
        <v>0</v>
      </c>
      <c r="J6" s="26">
        <v>0</v>
      </c>
      <c r="K6" s="11">
        <f t="shared" ref="K6:K18" si="2">J6*C6</f>
        <v>0</v>
      </c>
      <c r="L6" s="26">
        <v>0</v>
      </c>
      <c r="M6" s="11">
        <f>L6*C6</f>
        <v>0</v>
      </c>
      <c r="N6" s="26">
        <v>1</v>
      </c>
      <c r="O6" s="11">
        <f>N6*C6</f>
        <v>2.29</v>
      </c>
      <c r="P6" s="26">
        <v>2</v>
      </c>
      <c r="Q6" s="11">
        <f t="shared" ref="Q6:Q21" si="3">P6*C6</f>
        <v>4.58</v>
      </c>
      <c r="R6" s="11">
        <v>4</v>
      </c>
      <c r="S6" s="11">
        <f t="shared" ref="S6:S18" si="4">R6*C6</f>
        <v>9.16</v>
      </c>
      <c r="T6" s="26">
        <v>4</v>
      </c>
      <c r="U6" s="11">
        <f t="shared" ref="U6:U21" si="5">T6*C6</f>
        <v>9.16</v>
      </c>
      <c r="V6" s="11">
        <v>0</v>
      </c>
      <c r="W6" s="11">
        <f t="shared" ref="W6:W21" si="6">V6*C6</f>
        <v>0</v>
      </c>
      <c r="X6" s="20">
        <f t="shared" ref="X6:X19" si="7">D6+F6+H6+J6+L6+N6+P6+R6+T6+V6</f>
        <v>21</v>
      </c>
      <c r="Y6" s="11">
        <f>X6*C6</f>
        <v>48.09</v>
      </c>
      <c r="Z6" s="3"/>
      <c r="AA6" s="39"/>
    </row>
    <row r="7" spans="1:27">
      <c r="A7" s="11">
        <v>3</v>
      </c>
      <c r="B7" s="12" t="s">
        <v>15</v>
      </c>
      <c r="C7" s="13">
        <v>3.66</v>
      </c>
      <c r="D7" s="14">
        <v>200</v>
      </c>
      <c r="E7" s="11">
        <f t="shared" si="0"/>
        <v>732</v>
      </c>
      <c r="F7" s="14">
        <v>66</v>
      </c>
      <c r="G7" s="11">
        <f t="shared" si="1"/>
        <v>241.56</v>
      </c>
      <c r="H7" s="11">
        <v>85</v>
      </c>
      <c r="I7" s="11">
        <f t="shared" ref="I7:I16" si="8">C7*H7</f>
        <v>311.10000000000002</v>
      </c>
      <c r="J7" s="26">
        <v>181</v>
      </c>
      <c r="K7" s="11">
        <f t="shared" si="2"/>
        <v>662.46</v>
      </c>
      <c r="L7" s="26">
        <v>50</v>
      </c>
      <c r="M7" s="11">
        <f>L7*C7</f>
        <v>183</v>
      </c>
      <c r="N7" s="26">
        <v>40</v>
      </c>
      <c r="O7" s="11">
        <f>N7*C7</f>
        <v>146.4</v>
      </c>
      <c r="P7" s="26">
        <v>138</v>
      </c>
      <c r="Q7" s="11">
        <f t="shared" si="3"/>
        <v>505.08000000000004</v>
      </c>
      <c r="R7" s="11">
        <v>200</v>
      </c>
      <c r="S7" s="11">
        <f t="shared" si="4"/>
        <v>732</v>
      </c>
      <c r="T7" s="26">
        <v>60</v>
      </c>
      <c r="U7" s="11">
        <f t="shared" si="5"/>
        <v>219.60000000000002</v>
      </c>
      <c r="V7" s="11">
        <v>80</v>
      </c>
      <c r="W7" s="11">
        <f t="shared" si="6"/>
        <v>292.8</v>
      </c>
      <c r="X7" s="20">
        <f t="shared" si="7"/>
        <v>1100</v>
      </c>
      <c r="Y7" s="11">
        <f t="shared" ref="Y7:Y19" si="9">X7*C7</f>
        <v>4026</v>
      </c>
      <c r="Z7" s="3"/>
      <c r="AA7" s="39"/>
    </row>
    <row r="8" spans="1:27">
      <c r="A8" s="11">
        <v>4</v>
      </c>
      <c r="B8" s="12" t="s">
        <v>16</v>
      </c>
      <c r="C8" s="13">
        <v>2.81</v>
      </c>
      <c r="D8" s="14">
        <v>15</v>
      </c>
      <c r="E8" s="11">
        <f t="shared" si="0"/>
        <v>42.15</v>
      </c>
      <c r="F8" s="14">
        <v>5</v>
      </c>
      <c r="G8" s="11">
        <f t="shared" si="1"/>
        <v>14.05</v>
      </c>
      <c r="H8" s="11">
        <v>10</v>
      </c>
      <c r="I8" s="11">
        <f t="shared" si="8"/>
        <v>28.1</v>
      </c>
      <c r="J8" s="26">
        <v>0</v>
      </c>
      <c r="K8" s="11">
        <f t="shared" si="2"/>
        <v>0</v>
      </c>
      <c r="L8" s="26">
        <v>3</v>
      </c>
      <c r="M8" s="11">
        <f t="shared" ref="M8:M20" si="10">L8*C8</f>
        <v>8.43</v>
      </c>
      <c r="N8" s="26">
        <v>6</v>
      </c>
      <c r="O8" s="11">
        <f t="shared" ref="O8:O18" si="11">N8*C8</f>
        <v>16.86</v>
      </c>
      <c r="P8" s="26">
        <v>10</v>
      </c>
      <c r="Q8" s="11">
        <f t="shared" si="3"/>
        <v>28.1</v>
      </c>
      <c r="R8" s="11">
        <v>4</v>
      </c>
      <c r="S8" s="11">
        <f t="shared" si="4"/>
        <v>11.24</v>
      </c>
      <c r="T8" s="26">
        <v>7</v>
      </c>
      <c r="U8" s="11">
        <f t="shared" si="5"/>
        <v>19.670000000000002</v>
      </c>
      <c r="V8" s="11">
        <v>11</v>
      </c>
      <c r="W8" s="11">
        <f t="shared" si="6"/>
        <v>30.91</v>
      </c>
      <c r="X8" s="20">
        <f>D8+F8+H8+J8+L8+N8+P8+R8+T8+V8</f>
        <v>71</v>
      </c>
      <c r="Y8" s="11">
        <f t="shared" si="9"/>
        <v>199.51</v>
      </c>
      <c r="Z8" s="3"/>
      <c r="AA8" s="39"/>
    </row>
    <row r="9" spans="1:27">
      <c r="A9" s="11">
        <v>5</v>
      </c>
      <c r="B9" s="12" t="s">
        <v>17</v>
      </c>
      <c r="C9" s="13">
        <v>3.46</v>
      </c>
      <c r="D9" s="14">
        <v>50</v>
      </c>
      <c r="E9" s="11">
        <f t="shared" si="0"/>
        <v>173</v>
      </c>
      <c r="F9" s="14">
        <v>28</v>
      </c>
      <c r="G9" s="11">
        <f t="shared" si="1"/>
        <v>96.88</v>
      </c>
      <c r="H9" s="11">
        <v>13</v>
      </c>
      <c r="I9" s="11">
        <f t="shared" si="8"/>
        <v>44.98</v>
      </c>
      <c r="J9" s="26">
        <v>6</v>
      </c>
      <c r="K9" s="11">
        <f t="shared" si="2"/>
        <v>20.759999999999998</v>
      </c>
      <c r="L9" s="26">
        <v>20</v>
      </c>
      <c r="M9" s="11">
        <f t="shared" si="10"/>
        <v>69.2</v>
      </c>
      <c r="N9" s="26">
        <v>8</v>
      </c>
      <c r="O9" s="11">
        <f t="shared" si="11"/>
        <v>27.68</v>
      </c>
      <c r="P9" s="26">
        <v>24</v>
      </c>
      <c r="Q9" s="11">
        <f t="shared" si="3"/>
        <v>83.039999999999992</v>
      </c>
      <c r="R9" s="11">
        <v>20</v>
      </c>
      <c r="S9" s="11">
        <f t="shared" si="4"/>
        <v>69.2</v>
      </c>
      <c r="T9" s="26">
        <v>12</v>
      </c>
      <c r="U9" s="11">
        <f t="shared" si="5"/>
        <v>41.519999999999996</v>
      </c>
      <c r="V9" s="11">
        <v>5</v>
      </c>
      <c r="W9" s="11">
        <f t="shared" si="6"/>
        <v>17.3</v>
      </c>
      <c r="X9" s="20">
        <f t="shared" si="7"/>
        <v>186</v>
      </c>
      <c r="Y9" s="11">
        <f t="shared" si="9"/>
        <v>643.55999999999995</v>
      </c>
      <c r="Z9" s="3"/>
      <c r="AA9" s="39"/>
    </row>
    <row r="10" spans="1:27">
      <c r="A10" s="11">
        <v>6</v>
      </c>
      <c r="B10" s="12" t="s">
        <v>18</v>
      </c>
      <c r="C10" s="13">
        <v>1.06</v>
      </c>
      <c r="D10" s="14">
        <v>0</v>
      </c>
      <c r="E10" s="11">
        <f t="shared" si="0"/>
        <v>0</v>
      </c>
      <c r="F10" s="14">
        <v>0</v>
      </c>
      <c r="G10" s="11">
        <f t="shared" si="1"/>
        <v>0</v>
      </c>
      <c r="H10" s="14">
        <v>13</v>
      </c>
      <c r="I10" s="11">
        <f t="shared" si="8"/>
        <v>13.780000000000001</v>
      </c>
      <c r="J10" s="26">
        <v>0</v>
      </c>
      <c r="K10" s="11">
        <f t="shared" si="2"/>
        <v>0</v>
      </c>
      <c r="L10" s="26">
        <v>0</v>
      </c>
      <c r="M10" s="11">
        <f t="shared" si="10"/>
        <v>0</v>
      </c>
      <c r="N10" s="26">
        <v>0</v>
      </c>
      <c r="O10" s="11">
        <f t="shared" si="11"/>
        <v>0</v>
      </c>
      <c r="P10" s="26">
        <v>0</v>
      </c>
      <c r="Q10" s="11">
        <f t="shared" si="3"/>
        <v>0</v>
      </c>
      <c r="R10" s="11">
        <v>0</v>
      </c>
      <c r="S10" s="11">
        <f t="shared" si="4"/>
        <v>0</v>
      </c>
      <c r="T10" s="26">
        <v>0</v>
      </c>
      <c r="U10" s="11">
        <f t="shared" si="5"/>
        <v>0</v>
      </c>
      <c r="V10" s="11">
        <v>0</v>
      </c>
      <c r="W10" s="11">
        <f t="shared" si="6"/>
        <v>0</v>
      </c>
      <c r="X10" s="20">
        <f t="shared" si="7"/>
        <v>13</v>
      </c>
      <c r="Y10" s="11">
        <f t="shared" si="9"/>
        <v>13.780000000000001</v>
      </c>
      <c r="Z10" s="3"/>
      <c r="AA10" s="39"/>
    </row>
    <row r="11" spans="1:27">
      <c r="A11" s="11">
        <v>7</v>
      </c>
      <c r="B11" s="12" t="s">
        <v>19</v>
      </c>
      <c r="C11" s="13">
        <v>3.63</v>
      </c>
      <c r="D11" s="14">
        <v>0</v>
      </c>
      <c r="E11" s="11">
        <f t="shared" si="0"/>
        <v>0</v>
      </c>
      <c r="F11" s="14">
        <v>0</v>
      </c>
      <c r="G11" s="11">
        <f t="shared" si="1"/>
        <v>0</v>
      </c>
      <c r="H11" s="14">
        <v>0</v>
      </c>
      <c r="I11" s="11">
        <f t="shared" si="8"/>
        <v>0</v>
      </c>
      <c r="J11" s="26">
        <v>0</v>
      </c>
      <c r="K11" s="11">
        <f t="shared" si="2"/>
        <v>0</v>
      </c>
      <c r="L11" s="26">
        <v>0</v>
      </c>
      <c r="M11" s="11">
        <f t="shared" si="10"/>
        <v>0</v>
      </c>
      <c r="N11" s="26">
        <v>0</v>
      </c>
      <c r="O11" s="11">
        <f t="shared" si="11"/>
        <v>0</v>
      </c>
      <c r="P11" s="26">
        <v>0</v>
      </c>
      <c r="Q11" s="11">
        <f t="shared" si="3"/>
        <v>0</v>
      </c>
      <c r="R11" s="11">
        <v>0</v>
      </c>
      <c r="S11" s="11">
        <f t="shared" si="4"/>
        <v>0</v>
      </c>
      <c r="T11" s="26">
        <v>0</v>
      </c>
      <c r="U11" s="11">
        <f t="shared" si="5"/>
        <v>0</v>
      </c>
      <c r="V11" s="11">
        <v>0</v>
      </c>
      <c r="W11" s="11">
        <f t="shared" si="6"/>
        <v>0</v>
      </c>
      <c r="X11" s="20">
        <f t="shared" si="7"/>
        <v>0</v>
      </c>
      <c r="Y11" s="11">
        <f t="shared" si="9"/>
        <v>0</v>
      </c>
      <c r="Z11" s="3"/>
      <c r="AA11" s="39"/>
    </row>
    <row r="12" spans="1:27">
      <c r="A12" s="11">
        <v>8</v>
      </c>
      <c r="B12" s="12" t="s">
        <v>20</v>
      </c>
      <c r="C12" s="13">
        <v>0.85</v>
      </c>
      <c r="D12" s="14">
        <v>10</v>
      </c>
      <c r="E12" s="11">
        <f t="shared" ref="E12:E19" si="12">D12*C12</f>
        <v>8.5</v>
      </c>
      <c r="F12" s="14">
        <v>8</v>
      </c>
      <c r="G12" s="11">
        <f t="shared" si="1"/>
        <v>6.8</v>
      </c>
      <c r="H12" s="14">
        <v>44</v>
      </c>
      <c r="I12" s="11">
        <f t="shared" si="8"/>
        <v>37.4</v>
      </c>
      <c r="J12" s="26">
        <v>0</v>
      </c>
      <c r="K12" s="11">
        <f t="shared" si="2"/>
        <v>0</v>
      </c>
      <c r="L12" s="26">
        <v>7</v>
      </c>
      <c r="M12" s="11">
        <f t="shared" si="10"/>
        <v>5.95</v>
      </c>
      <c r="N12" s="26">
        <v>0</v>
      </c>
      <c r="O12" s="11">
        <f t="shared" si="11"/>
        <v>0</v>
      </c>
      <c r="P12" s="26">
        <v>5</v>
      </c>
      <c r="Q12" s="11">
        <f t="shared" si="3"/>
        <v>4.25</v>
      </c>
      <c r="R12" s="11">
        <v>2</v>
      </c>
      <c r="S12" s="11">
        <f t="shared" si="4"/>
        <v>1.7</v>
      </c>
      <c r="T12" s="26">
        <v>0</v>
      </c>
      <c r="U12" s="11">
        <f t="shared" si="5"/>
        <v>0</v>
      </c>
      <c r="V12" s="11">
        <v>11</v>
      </c>
      <c r="W12" s="11">
        <f t="shared" si="6"/>
        <v>9.35</v>
      </c>
      <c r="X12" s="20">
        <f t="shared" si="7"/>
        <v>87</v>
      </c>
      <c r="Y12" s="11">
        <f t="shared" si="9"/>
        <v>73.95</v>
      </c>
      <c r="Z12" s="3"/>
      <c r="AA12" s="39"/>
    </row>
    <row r="13" spans="1:27" ht="15" customHeight="1">
      <c r="A13" s="11">
        <v>9</v>
      </c>
      <c r="B13" s="12" t="s">
        <v>21</v>
      </c>
      <c r="C13" s="13">
        <v>1.98</v>
      </c>
      <c r="D13" s="14">
        <v>60</v>
      </c>
      <c r="E13" s="11">
        <f t="shared" si="12"/>
        <v>118.8</v>
      </c>
      <c r="F13" s="14">
        <v>2</v>
      </c>
      <c r="G13" s="11">
        <f t="shared" si="1"/>
        <v>3.96</v>
      </c>
      <c r="H13" s="14">
        <v>86</v>
      </c>
      <c r="I13" s="11">
        <f t="shared" si="8"/>
        <v>170.28</v>
      </c>
      <c r="J13" s="26">
        <v>91</v>
      </c>
      <c r="K13" s="11">
        <f t="shared" si="2"/>
        <v>180.18</v>
      </c>
      <c r="L13" s="26">
        <v>1</v>
      </c>
      <c r="M13" s="11">
        <f t="shared" si="10"/>
        <v>1.98</v>
      </c>
      <c r="N13" s="26">
        <v>40</v>
      </c>
      <c r="O13" s="11">
        <f t="shared" si="11"/>
        <v>79.2</v>
      </c>
      <c r="P13" s="26">
        <v>100</v>
      </c>
      <c r="Q13" s="11">
        <f t="shared" si="3"/>
        <v>198</v>
      </c>
      <c r="R13" s="11">
        <v>200</v>
      </c>
      <c r="S13" s="11">
        <f t="shared" si="4"/>
        <v>396</v>
      </c>
      <c r="T13" s="26">
        <v>56</v>
      </c>
      <c r="U13" s="11">
        <f t="shared" si="5"/>
        <v>110.88</v>
      </c>
      <c r="V13" s="11">
        <v>190</v>
      </c>
      <c r="W13" s="11">
        <f t="shared" si="6"/>
        <v>376.2</v>
      </c>
      <c r="X13" s="20">
        <f t="shared" si="7"/>
        <v>826</v>
      </c>
      <c r="Y13" s="11">
        <f t="shared" si="9"/>
        <v>1635.48</v>
      </c>
      <c r="Z13" s="3"/>
      <c r="AA13" s="39"/>
    </row>
    <row r="14" spans="1:27">
      <c r="A14" s="11">
        <v>10</v>
      </c>
      <c r="B14" s="15" t="s">
        <v>22</v>
      </c>
      <c r="C14" s="13">
        <v>1.98</v>
      </c>
      <c r="D14" s="14">
        <v>30</v>
      </c>
      <c r="E14" s="11">
        <f t="shared" si="12"/>
        <v>59.4</v>
      </c>
      <c r="F14" s="14">
        <v>50</v>
      </c>
      <c r="G14" s="11">
        <f t="shared" si="1"/>
        <v>99</v>
      </c>
      <c r="H14" s="14">
        <v>26</v>
      </c>
      <c r="I14" s="11">
        <f t="shared" si="8"/>
        <v>51.48</v>
      </c>
      <c r="J14" s="26">
        <v>12</v>
      </c>
      <c r="K14" s="11">
        <f t="shared" si="2"/>
        <v>23.759999999999998</v>
      </c>
      <c r="L14" s="26">
        <v>25</v>
      </c>
      <c r="M14" s="11">
        <f t="shared" si="10"/>
        <v>49.5</v>
      </c>
      <c r="N14" s="26">
        <v>10</v>
      </c>
      <c r="O14" s="11">
        <f t="shared" si="11"/>
        <v>19.8</v>
      </c>
      <c r="P14" s="26">
        <v>20</v>
      </c>
      <c r="Q14" s="11">
        <f t="shared" si="3"/>
        <v>39.6</v>
      </c>
      <c r="R14" s="11">
        <v>40</v>
      </c>
      <c r="S14" s="11">
        <f t="shared" si="4"/>
        <v>79.2</v>
      </c>
      <c r="T14" s="26">
        <v>11</v>
      </c>
      <c r="U14" s="11">
        <f t="shared" si="5"/>
        <v>21.78</v>
      </c>
      <c r="V14" s="11">
        <v>48</v>
      </c>
      <c r="W14" s="11">
        <f t="shared" si="6"/>
        <v>95.039999999999992</v>
      </c>
      <c r="X14" s="20">
        <f t="shared" si="7"/>
        <v>272</v>
      </c>
      <c r="Y14" s="11">
        <f t="shared" si="9"/>
        <v>538.55999999999995</v>
      </c>
      <c r="Z14" s="3"/>
      <c r="AA14" s="39"/>
    </row>
    <row r="15" spans="1:27" ht="13.5" customHeight="1">
      <c r="A15" s="11">
        <v>11</v>
      </c>
      <c r="B15" s="12" t="s">
        <v>23</v>
      </c>
      <c r="C15" s="13">
        <v>4.6900000000000004</v>
      </c>
      <c r="D15" s="14">
        <v>0</v>
      </c>
      <c r="E15" s="11">
        <f t="shared" si="12"/>
        <v>0</v>
      </c>
      <c r="F15" s="14">
        <v>0</v>
      </c>
      <c r="G15" s="11">
        <f t="shared" si="1"/>
        <v>0</v>
      </c>
      <c r="H15" s="14">
        <v>44</v>
      </c>
      <c r="I15" s="11">
        <f t="shared" si="8"/>
        <v>206.36</v>
      </c>
      <c r="J15" s="26">
        <v>0</v>
      </c>
      <c r="K15" s="11">
        <f t="shared" si="2"/>
        <v>0</v>
      </c>
      <c r="L15" s="26">
        <v>0</v>
      </c>
      <c r="M15" s="11">
        <f t="shared" si="10"/>
        <v>0</v>
      </c>
      <c r="N15" s="26">
        <v>0</v>
      </c>
      <c r="O15" s="11">
        <f t="shared" si="11"/>
        <v>0</v>
      </c>
      <c r="P15" s="26">
        <v>0</v>
      </c>
      <c r="Q15" s="11">
        <f t="shared" si="3"/>
        <v>0</v>
      </c>
      <c r="R15" s="32">
        <v>0</v>
      </c>
      <c r="S15" s="11">
        <f t="shared" si="4"/>
        <v>0</v>
      </c>
      <c r="T15" s="38">
        <v>0</v>
      </c>
      <c r="U15" s="11">
        <f t="shared" si="5"/>
        <v>0</v>
      </c>
      <c r="V15" s="32">
        <v>23</v>
      </c>
      <c r="W15" s="11">
        <f t="shared" si="6"/>
        <v>107.87</v>
      </c>
      <c r="X15" s="20">
        <f t="shared" si="7"/>
        <v>67</v>
      </c>
      <c r="Y15" s="11">
        <f t="shared" si="9"/>
        <v>314.23</v>
      </c>
      <c r="Z15" s="3"/>
      <c r="AA15" s="39"/>
    </row>
    <row r="16" spans="1:27">
      <c r="A16" s="11">
        <v>12</v>
      </c>
      <c r="B16" s="12" t="s">
        <v>24</v>
      </c>
      <c r="C16" s="13">
        <v>2.9</v>
      </c>
      <c r="D16" s="14">
        <v>0</v>
      </c>
      <c r="E16" s="11">
        <f t="shared" si="12"/>
        <v>0</v>
      </c>
      <c r="F16" s="14">
        <v>0</v>
      </c>
      <c r="G16" s="11">
        <f t="shared" si="1"/>
        <v>0</v>
      </c>
      <c r="H16" s="14">
        <v>22</v>
      </c>
      <c r="I16" s="11">
        <f t="shared" si="8"/>
        <v>63.8</v>
      </c>
      <c r="J16" s="26">
        <v>0</v>
      </c>
      <c r="K16" s="11">
        <f t="shared" si="2"/>
        <v>0</v>
      </c>
      <c r="L16" s="26">
        <v>0</v>
      </c>
      <c r="M16" s="11">
        <f t="shared" si="10"/>
        <v>0</v>
      </c>
      <c r="N16" s="26">
        <v>0</v>
      </c>
      <c r="O16" s="11">
        <f t="shared" si="11"/>
        <v>0</v>
      </c>
      <c r="P16" s="26">
        <v>0</v>
      </c>
      <c r="Q16" s="11">
        <f t="shared" si="3"/>
        <v>0</v>
      </c>
      <c r="R16" s="32">
        <v>0</v>
      </c>
      <c r="S16" s="11">
        <f t="shared" si="4"/>
        <v>0</v>
      </c>
      <c r="T16" s="38">
        <v>0</v>
      </c>
      <c r="U16" s="11">
        <f t="shared" si="5"/>
        <v>0</v>
      </c>
      <c r="V16" s="32">
        <v>1</v>
      </c>
      <c r="W16" s="11">
        <f t="shared" si="6"/>
        <v>2.9</v>
      </c>
      <c r="X16" s="20">
        <f>D16+F16+H16+J16+L16+N16+P16+R16+T16+V16</f>
        <v>23</v>
      </c>
      <c r="Y16" s="11">
        <f>X16*C16</f>
        <v>66.7</v>
      </c>
      <c r="Z16" s="3"/>
      <c r="AA16" s="39"/>
    </row>
    <row r="17" spans="1:27">
      <c r="A17" s="11">
        <v>13</v>
      </c>
      <c r="B17" s="12" t="s">
        <v>55</v>
      </c>
      <c r="C17" s="13">
        <v>1.9</v>
      </c>
      <c r="D17" s="14">
        <v>50</v>
      </c>
      <c r="E17" s="11">
        <f>D17*C17</f>
        <v>95</v>
      </c>
      <c r="F17" s="14">
        <v>20</v>
      </c>
      <c r="G17" s="11">
        <f t="shared" si="1"/>
        <v>38</v>
      </c>
      <c r="H17" s="14">
        <v>0</v>
      </c>
      <c r="I17" s="11">
        <f>H17*C17</f>
        <v>0</v>
      </c>
      <c r="J17" s="14">
        <v>0</v>
      </c>
      <c r="K17" s="11">
        <f t="shared" si="2"/>
        <v>0</v>
      </c>
      <c r="L17" s="14">
        <v>0</v>
      </c>
      <c r="M17" s="11">
        <f t="shared" si="10"/>
        <v>0</v>
      </c>
      <c r="N17" s="14">
        <v>10</v>
      </c>
      <c r="O17" s="11">
        <f t="shared" si="11"/>
        <v>19</v>
      </c>
      <c r="P17" s="32">
        <v>274</v>
      </c>
      <c r="Q17" s="11">
        <f t="shared" si="3"/>
        <v>520.6</v>
      </c>
      <c r="R17" s="32">
        <v>10</v>
      </c>
      <c r="S17" s="11">
        <f t="shared" si="4"/>
        <v>19</v>
      </c>
      <c r="T17" s="26">
        <v>0</v>
      </c>
      <c r="U17" s="11">
        <f t="shared" si="5"/>
        <v>0</v>
      </c>
      <c r="V17" s="11">
        <v>0</v>
      </c>
      <c r="W17" s="52">
        <f>V17*C17</f>
        <v>0</v>
      </c>
      <c r="X17" s="20">
        <f>D17+F17+H17+J17+L17+N17+P17+R17+T17+V17</f>
        <v>364</v>
      </c>
      <c r="Y17" s="11">
        <f t="shared" si="9"/>
        <v>691.6</v>
      </c>
    </row>
    <row r="18" spans="1:27">
      <c r="A18" s="11">
        <v>14</v>
      </c>
      <c r="B18" s="12" t="s">
        <v>56</v>
      </c>
      <c r="C18" s="13">
        <v>2.4</v>
      </c>
      <c r="D18" s="14">
        <v>0</v>
      </c>
      <c r="E18" s="11">
        <f>D18*C18</f>
        <v>0</v>
      </c>
      <c r="F18" s="14">
        <v>0</v>
      </c>
      <c r="G18" s="11">
        <f t="shared" si="1"/>
        <v>0</v>
      </c>
      <c r="H18" s="14">
        <v>0</v>
      </c>
      <c r="I18" s="11">
        <f>H18*C18</f>
        <v>0</v>
      </c>
      <c r="J18" s="14">
        <v>0</v>
      </c>
      <c r="K18" s="11">
        <f t="shared" si="2"/>
        <v>0</v>
      </c>
      <c r="L18" s="14">
        <v>0</v>
      </c>
      <c r="M18" s="11">
        <f t="shared" si="10"/>
        <v>0</v>
      </c>
      <c r="N18" s="14">
        <v>0</v>
      </c>
      <c r="O18" s="11">
        <f t="shared" si="11"/>
        <v>0</v>
      </c>
      <c r="P18" s="32">
        <v>0</v>
      </c>
      <c r="Q18" s="11">
        <v>0</v>
      </c>
      <c r="R18" s="32">
        <v>0</v>
      </c>
      <c r="S18" s="11">
        <f t="shared" si="4"/>
        <v>0</v>
      </c>
      <c r="T18" s="26">
        <v>0</v>
      </c>
      <c r="U18" s="11">
        <f t="shared" si="5"/>
        <v>0</v>
      </c>
      <c r="V18" s="11">
        <v>0</v>
      </c>
      <c r="W18" s="52">
        <f>V18*C18</f>
        <v>0</v>
      </c>
      <c r="X18" s="20">
        <f t="shared" si="7"/>
        <v>0</v>
      </c>
      <c r="Y18" s="11">
        <f t="shared" si="9"/>
        <v>0</v>
      </c>
    </row>
    <row r="19" spans="1:27">
      <c r="A19" s="11">
        <v>15</v>
      </c>
      <c r="B19" s="12" t="s">
        <v>25</v>
      </c>
      <c r="C19" s="13">
        <v>1.5</v>
      </c>
      <c r="D19" s="31">
        <v>0</v>
      </c>
      <c r="E19" s="11">
        <f t="shared" si="12"/>
        <v>0</v>
      </c>
      <c r="F19" s="31">
        <v>0</v>
      </c>
      <c r="G19" s="11">
        <f t="shared" si="1"/>
        <v>0</v>
      </c>
      <c r="H19" s="31">
        <v>46</v>
      </c>
      <c r="I19" s="11">
        <f>H19*C19</f>
        <v>69</v>
      </c>
      <c r="J19" s="38">
        <v>0</v>
      </c>
      <c r="K19" s="11">
        <f>J19*C19</f>
        <v>0</v>
      </c>
      <c r="L19" s="38">
        <v>0</v>
      </c>
      <c r="M19" s="11">
        <f t="shared" si="10"/>
        <v>0</v>
      </c>
      <c r="N19" s="38">
        <v>0</v>
      </c>
      <c r="O19" s="11">
        <f>N19*C19</f>
        <v>0</v>
      </c>
      <c r="P19" s="38">
        <v>0</v>
      </c>
      <c r="Q19" s="11">
        <f t="shared" si="3"/>
        <v>0</v>
      </c>
      <c r="R19" s="32">
        <v>0</v>
      </c>
      <c r="S19" s="11">
        <f>R19*C19</f>
        <v>0</v>
      </c>
      <c r="T19" s="38">
        <v>0</v>
      </c>
      <c r="U19" s="11">
        <f t="shared" si="5"/>
        <v>0</v>
      </c>
      <c r="V19" s="32">
        <v>363</v>
      </c>
      <c r="W19" s="57">
        <f>V19*C19</f>
        <v>544.5</v>
      </c>
      <c r="X19" s="20">
        <f t="shared" si="7"/>
        <v>409</v>
      </c>
      <c r="Y19" s="11">
        <f t="shared" si="9"/>
        <v>613.5</v>
      </c>
      <c r="Z19" s="3"/>
      <c r="AA19" s="39"/>
    </row>
    <row r="20" spans="1:27">
      <c r="A20" s="11">
        <v>16</v>
      </c>
      <c r="B20" s="12" t="s">
        <v>58</v>
      </c>
      <c r="C20" s="13">
        <v>5.38</v>
      </c>
      <c r="D20" s="14">
        <v>32</v>
      </c>
      <c r="E20" s="11">
        <f>D20*C20</f>
        <v>172.16</v>
      </c>
      <c r="F20" s="14">
        <v>20</v>
      </c>
      <c r="G20" s="11">
        <f t="shared" si="1"/>
        <v>107.6</v>
      </c>
      <c r="H20" s="14">
        <v>38</v>
      </c>
      <c r="I20" s="11">
        <f>H20*C20</f>
        <v>204.44</v>
      </c>
      <c r="J20" s="14">
        <v>5</v>
      </c>
      <c r="K20" s="11">
        <f>J20*C20</f>
        <v>26.9</v>
      </c>
      <c r="L20" s="14">
        <v>10</v>
      </c>
      <c r="M20" s="26">
        <f t="shared" si="10"/>
        <v>53.8</v>
      </c>
      <c r="N20" s="14">
        <v>30</v>
      </c>
      <c r="O20" s="11">
        <f>N20*C20</f>
        <v>161.4</v>
      </c>
      <c r="P20" s="32">
        <v>30</v>
      </c>
      <c r="Q20" s="11">
        <f t="shared" si="3"/>
        <v>161.4</v>
      </c>
      <c r="R20" s="32">
        <v>9</v>
      </c>
      <c r="S20" s="11">
        <f>R20*C20</f>
        <v>48.42</v>
      </c>
      <c r="T20" s="26">
        <v>27</v>
      </c>
      <c r="U20" s="11">
        <f t="shared" si="5"/>
        <v>145.26</v>
      </c>
      <c r="V20" s="11">
        <v>3</v>
      </c>
      <c r="W20" s="52">
        <f t="shared" si="6"/>
        <v>16.14</v>
      </c>
      <c r="X20" s="20">
        <f>D20+F20+H20+J20+L20+N20+P20+R20+T20+V20</f>
        <v>204</v>
      </c>
      <c r="Y20" s="11">
        <f>X20*C20</f>
        <v>1097.52</v>
      </c>
    </row>
    <row r="21" spans="1:27" ht="15" thickBot="1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>
        <v>0</v>
      </c>
      <c r="G21" s="11">
        <f>F21*A21</f>
        <v>0</v>
      </c>
      <c r="H21" s="32">
        <v>42</v>
      </c>
      <c r="I21" s="11">
        <f>H21*C21</f>
        <v>84</v>
      </c>
      <c r="J21" s="32">
        <v>0</v>
      </c>
      <c r="K21" s="11">
        <f>J21*C21</f>
        <v>0</v>
      </c>
      <c r="L21" s="38">
        <v>0</v>
      </c>
      <c r="M21" s="26">
        <f>L21*C21</f>
        <v>0</v>
      </c>
      <c r="N21" s="26">
        <v>0</v>
      </c>
      <c r="O21" s="26">
        <f>N21*C21</f>
        <v>0</v>
      </c>
      <c r="P21" s="32">
        <v>0</v>
      </c>
      <c r="Q21" s="11">
        <f t="shared" si="3"/>
        <v>0</v>
      </c>
      <c r="R21" s="32">
        <v>0</v>
      </c>
      <c r="S21" s="11">
        <f>R21*C21</f>
        <v>0</v>
      </c>
      <c r="T21" s="26">
        <v>0</v>
      </c>
      <c r="U21" s="11">
        <f t="shared" si="5"/>
        <v>0</v>
      </c>
      <c r="V21" s="11">
        <v>0</v>
      </c>
      <c r="W21" s="52">
        <f t="shared" si="6"/>
        <v>0</v>
      </c>
      <c r="X21" s="20">
        <f>D21+F21+H21+J21+L21+N21+P21+R21+T21+V21</f>
        <v>42</v>
      </c>
      <c r="Y21" s="11">
        <f>X21*C21</f>
        <v>84</v>
      </c>
    </row>
    <row r="22" spans="1:27" ht="15" thickBot="1">
      <c r="A22" s="16"/>
      <c r="B22" s="17" t="s">
        <v>6</v>
      </c>
      <c r="C22" s="17"/>
      <c r="D22" s="17"/>
      <c r="E22" s="17">
        <f>SUM(E5:E21)</f>
        <v>2017.9100000000003</v>
      </c>
      <c r="F22" s="17"/>
      <c r="G22" s="17">
        <f>SUM(G5:G21)</f>
        <v>657.35</v>
      </c>
      <c r="H22" s="17"/>
      <c r="I22" s="17">
        <f>SUM(I5:I21)</f>
        <v>1353.0300000000002</v>
      </c>
      <c r="J22" s="17"/>
      <c r="K22" s="17">
        <f>SUM(K5:K21)</f>
        <v>1135.8200000000002</v>
      </c>
      <c r="L22" s="17"/>
      <c r="M22" s="17">
        <f>SUM(M5:M21)</f>
        <v>419.38</v>
      </c>
      <c r="N22" s="17"/>
      <c r="O22" s="17">
        <f>SUM(O5:O21)</f>
        <v>536.98</v>
      </c>
      <c r="P22" s="17"/>
      <c r="Q22" s="17">
        <f>SUM(Q5:Q21)</f>
        <v>1940.65</v>
      </c>
      <c r="R22" s="17"/>
      <c r="S22" s="17">
        <f>SUM(S5:S21)</f>
        <v>1662.9200000000003</v>
      </c>
      <c r="T22" s="27">
        <v>0</v>
      </c>
      <c r="U22" s="17">
        <f>SUM(U5:U21)</f>
        <v>666.87</v>
      </c>
      <c r="V22" s="17"/>
      <c r="W22" s="17">
        <f>SUM(W5:W21)</f>
        <v>7363.71</v>
      </c>
      <c r="X22" s="17"/>
      <c r="Y22" s="17">
        <f>SUM(Y5:Y21)</f>
        <v>17754.62</v>
      </c>
      <c r="Z22" s="3"/>
    </row>
    <row r="23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 t="s">
        <v>26</v>
      </c>
      <c r="E24" s="3"/>
      <c r="F24" s="3" t="s">
        <v>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J28" s="3"/>
      <c r="P28" s="3"/>
    </row>
    <row r="29" spans="1:27">
      <c r="J29" s="3"/>
      <c r="P29" s="3"/>
    </row>
    <row r="30" spans="1:27">
      <c r="J30" s="3"/>
      <c r="P30" s="3"/>
    </row>
    <row r="31" spans="1:27">
      <c r="J31" s="3"/>
      <c r="P31" s="3"/>
    </row>
    <row r="32" spans="1:27">
      <c r="J32" s="3"/>
      <c r="P32" s="3"/>
    </row>
    <row r="33" spans="10:16">
      <c r="J33" s="3"/>
      <c r="P33" s="3"/>
    </row>
    <row r="34" spans="10:16">
      <c r="J34" s="3"/>
      <c r="P34" s="3"/>
    </row>
    <row r="35" spans="10:16">
      <c r="J35" s="3"/>
      <c r="P35" s="3"/>
    </row>
    <row r="36" spans="10:16">
      <c r="J36" s="3"/>
      <c r="P36" s="3"/>
    </row>
    <row r="37" spans="10:16">
      <c r="J37" s="3"/>
      <c r="P37" s="3"/>
    </row>
  </sheetData>
  <mergeCells count="12">
    <mergeCell ref="D3:E3"/>
    <mergeCell ref="F3:G3"/>
    <mergeCell ref="J3:K3"/>
    <mergeCell ref="L3:M3"/>
    <mergeCell ref="N3:O3"/>
    <mergeCell ref="H3:I3"/>
    <mergeCell ref="AA2:AA4"/>
    <mergeCell ref="P3:Q3"/>
    <mergeCell ref="R3:S3"/>
    <mergeCell ref="T3:U3"/>
    <mergeCell ref="V3:W3"/>
    <mergeCell ref="X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topLeftCell="F1" zoomScale="80" zoomScaleNormal="80" workbookViewId="0">
      <selection activeCell="A20" sqref="A20:XFD20"/>
    </sheetView>
  </sheetViews>
  <sheetFormatPr baseColWidth="10" defaultColWidth="14.453125" defaultRowHeight="14.5"/>
  <cols>
    <col min="1" max="1" width="8.81640625" style="22" customWidth="1"/>
    <col min="2" max="2" width="22.54296875" style="22" customWidth="1"/>
    <col min="3" max="3" width="12.1796875" style="22" customWidth="1"/>
    <col min="4" max="26" width="9.54296875" style="22" customWidth="1"/>
    <col min="27" max="27" width="8.7265625" style="22" customWidth="1"/>
    <col min="28" max="16384" width="14.453125" style="2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0</v>
      </c>
      <c r="B2" s="2">
        <v>45962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4"/>
      <c r="B3" s="5"/>
      <c r="C3" s="6"/>
      <c r="D3" s="73" t="s">
        <v>1</v>
      </c>
      <c r="E3" s="74"/>
      <c r="F3" s="73" t="s">
        <v>44</v>
      </c>
      <c r="G3" s="98"/>
      <c r="H3" s="7" t="s">
        <v>33</v>
      </c>
      <c r="I3" s="7"/>
      <c r="J3" s="7" t="s">
        <v>41</v>
      </c>
      <c r="K3" s="7"/>
      <c r="L3" s="7" t="s">
        <v>45</v>
      </c>
      <c r="M3" s="7"/>
      <c r="N3" s="7" t="s">
        <v>43</v>
      </c>
      <c r="O3" s="7"/>
      <c r="P3" s="71" t="s">
        <v>2</v>
      </c>
      <c r="Q3" s="99"/>
      <c r="R3" s="71" t="s">
        <v>3</v>
      </c>
      <c r="S3" s="72"/>
      <c r="T3" s="75" t="s">
        <v>4</v>
      </c>
      <c r="U3" s="76"/>
      <c r="V3" s="71" t="s">
        <v>5</v>
      </c>
      <c r="W3" s="77"/>
      <c r="X3" s="71" t="s">
        <v>6</v>
      </c>
      <c r="Y3" s="72"/>
      <c r="Z3" s="3"/>
    </row>
    <row r="4" spans="1:27">
      <c r="A4" s="8"/>
      <c r="B4" s="9" t="s">
        <v>7</v>
      </c>
      <c r="C4" s="9" t="s">
        <v>8</v>
      </c>
      <c r="D4" s="10" t="s">
        <v>9</v>
      </c>
      <c r="E4" s="10" t="s">
        <v>10</v>
      </c>
      <c r="F4" s="10" t="s">
        <v>9</v>
      </c>
      <c r="G4" s="10" t="s">
        <v>10</v>
      </c>
      <c r="H4" s="10" t="s">
        <v>9</v>
      </c>
      <c r="I4" s="10" t="s">
        <v>10</v>
      </c>
      <c r="J4" s="10" t="s">
        <v>9</v>
      </c>
      <c r="K4" s="10" t="s">
        <v>10</v>
      </c>
      <c r="L4" s="10" t="s">
        <v>9</v>
      </c>
      <c r="M4" s="10" t="s">
        <v>10</v>
      </c>
      <c r="N4" s="10" t="s">
        <v>9</v>
      </c>
      <c r="O4" s="10" t="s">
        <v>10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18" t="s">
        <v>11</v>
      </c>
      <c r="W4" s="19" t="s">
        <v>12</v>
      </c>
      <c r="X4" s="18" t="s">
        <v>11</v>
      </c>
      <c r="Y4" s="19" t="s">
        <v>12</v>
      </c>
      <c r="Z4" s="3"/>
      <c r="AA4" s="36"/>
    </row>
    <row r="5" spans="1:27">
      <c r="A5" s="11">
        <v>1</v>
      </c>
      <c r="B5" s="12" t="s">
        <v>13</v>
      </c>
      <c r="C5" s="13">
        <v>0.99</v>
      </c>
      <c r="D5" s="14">
        <v>200</v>
      </c>
      <c r="E5" s="11">
        <f t="shared" ref="E5:E19" si="0">D5*C5</f>
        <v>198</v>
      </c>
      <c r="F5" s="11">
        <v>0</v>
      </c>
      <c r="G5" s="11">
        <f>C5*F5</f>
        <v>0</v>
      </c>
      <c r="H5" s="51">
        <v>193</v>
      </c>
      <c r="I5" s="11">
        <f>H5*C5</f>
        <v>191.07</v>
      </c>
      <c r="J5" s="11">
        <v>0</v>
      </c>
      <c r="K5" s="11">
        <f>J5*C5</f>
        <v>0</v>
      </c>
      <c r="L5" s="11">
        <v>197</v>
      </c>
      <c r="M5" s="11">
        <f>L5*C5</f>
        <v>195.03</v>
      </c>
      <c r="N5" s="11">
        <v>33</v>
      </c>
      <c r="O5" s="11">
        <f>C5*N5</f>
        <v>32.67</v>
      </c>
      <c r="P5" s="11">
        <v>625</v>
      </c>
      <c r="Q5" s="11">
        <f t="shared" ref="Q5:Q21" si="1">P5*C5</f>
        <v>618.75</v>
      </c>
      <c r="R5" s="11">
        <v>1235</v>
      </c>
      <c r="S5" s="11">
        <f t="shared" ref="S5:S21" si="2">R5*C5</f>
        <v>1222.6500000000001</v>
      </c>
      <c r="T5" s="11">
        <v>196</v>
      </c>
      <c r="U5" s="11">
        <f t="shared" ref="U5:U21" si="3">T5*C5</f>
        <v>194.04</v>
      </c>
      <c r="V5" s="11">
        <v>86</v>
      </c>
      <c r="W5" s="11">
        <f t="shared" ref="W5:W19" si="4">V5*C5</f>
        <v>85.14</v>
      </c>
      <c r="X5" s="20">
        <f>D5+F5+H5+J5+L5+N5+P5+R5+T5+V5</f>
        <v>2765</v>
      </c>
      <c r="Y5" s="11">
        <f>X5*C5</f>
        <v>2737.35</v>
      </c>
      <c r="Z5" s="3"/>
      <c r="AA5" s="36"/>
    </row>
    <row r="6" spans="1:27">
      <c r="A6" s="11">
        <v>2</v>
      </c>
      <c r="B6" s="12" t="s">
        <v>14</v>
      </c>
      <c r="C6" s="13">
        <v>2.29</v>
      </c>
      <c r="D6" s="14">
        <v>40</v>
      </c>
      <c r="E6" s="11">
        <f t="shared" si="0"/>
        <v>91.6</v>
      </c>
      <c r="F6" s="11">
        <v>30</v>
      </c>
      <c r="G6" s="11">
        <f t="shared" ref="G6:G16" si="5">C6*F6</f>
        <v>68.7</v>
      </c>
      <c r="H6" s="51">
        <v>16</v>
      </c>
      <c r="I6" s="11">
        <f t="shared" ref="I6:I21" si="6">H6*C6</f>
        <v>36.64</v>
      </c>
      <c r="J6" s="11">
        <v>10</v>
      </c>
      <c r="K6" s="11">
        <f t="shared" ref="K6:K21" si="7">J6*C6</f>
        <v>22.9</v>
      </c>
      <c r="L6" s="11">
        <v>16</v>
      </c>
      <c r="M6" s="11">
        <f t="shared" ref="M6:M20" si="8">L6*C6</f>
        <v>36.64</v>
      </c>
      <c r="N6" s="11">
        <v>48</v>
      </c>
      <c r="O6" s="11">
        <f t="shared" ref="O6:O16" si="9">C6*N6</f>
        <v>109.92</v>
      </c>
      <c r="P6" s="11">
        <v>32</v>
      </c>
      <c r="Q6" s="11">
        <f t="shared" si="1"/>
        <v>73.28</v>
      </c>
      <c r="R6" s="11">
        <v>166</v>
      </c>
      <c r="S6" s="11">
        <f t="shared" si="2"/>
        <v>380.14</v>
      </c>
      <c r="T6" s="11">
        <v>35</v>
      </c>
      <c r="U6" s="11">
        <f t="shared" si="3"/>
        <v>80.150000000000006</v>
      </c>
      <c r="V6" s="11">
        <v>44</v>
      </c>
      <c r="W6" s="11">
        <f t="shared" si="4"/>
        <v>100.76</v>
      </c>
      <c r="X6" s="20">
        <f t="shared" ref="X6:X19" si="10">D6+F6+H6+J6+L6+N6+P6+R6+T6+V6</f>
        <v>437</v>
      </c>
      <c r="Y6" s="11">
        <f t="shared" ref="Y6:Y19" si="11">X6*C6</f>
        <v>1000.73</v>
      </c>
      <c r="Z6" s="3"/>
      <c r="AA6" s="36"/>
    </row>
    <row r="7" spans="1:27">
      <c r="A7" s="11">
        <v>3</v>
      </c>
      <c r="B7" s="12" t="s">
        <v>15</v>
      </c>
      <c r="C7" s="13">
        <v>3.66</v>
      </c>
      <c r="D7" s="14">
        <v>15</v>
      </c>
      <c r="E7" s="11">
        <f t="shared" si="0"/>
        <v>54.900000000000006</v>
      </c>
      <c r="F7" s="11">
        <v>0</v>
      </c>
      <c r="G7" s="11">
        <f t="shared" si="5"/>
        <v>0</v>
      </c>
      <c r="H7" s="51">
        <v>10</v>
      </c>
      <c r="I7" s="11">
        <f t="shared" si="6"/>
        <v>36.6</v>
      </c>
      <c r="J7" s="11">
        <v>0</v>
      </c>
      <c r="K7" s="11">
        <f t="shared" si="7"/>
        <v>0</v>
      </c>
      <c r="L7" s="11">
        <v>0</v>
      </c>
      <c r="M7" s="11">
        <f t="shared" si="8"/>
        <v>0</v>
      </c>
      <c r="N7" s="11">
        <v>16</v>
      </c>
      <c r="O7" s="11">
        <f t="shared" si="9"/>
        <v>58.56</v>
      </c>
      <c r="P7" s="11">
        <v>60</v>
      </c>
      <c r="Q7" s="11">
        <f t="shared" si="1"/>
        <v>219.60000000000002</v>
      </c>
      <c r="R7" s="11">
        <v>64</v>
      </c>
      <c r="S7" s="11">
        <f t="shared" si="2"/>
        <v>234.24</v>
      </c>
      <c r="T7" s="11">
        <v>16</v>
      </c>
      <c r="U7" s="11">
        <f t="shared" si="3"/>
        <v>58.56</v>
      </c>
      <c r="V7" s="11">
        <v>11</v>
      </c>
      <c r="W7" s="11">
        <f t="shared" si="4"/>
        <v>40.260000000000005</v>
      </c>
      <c r="X7" s="20">
        <f t="shared" si="10"/>
        <v>192</v>
      </c>
      <c r="Y7" s="11">
        <f t="shared" si="11"/>
        <v>702.72</v>
      </c>
      <c r="Z7" s="3"/>
      <c r="AA7" s="36"/>
    </row>
    <row r="8" spans="1:27">
      <c r="A8" s="11">
        <v>4</v>
      </c>
      <c r="B8" s="12" t="s">
        <v>16</v>
      </c>
      <c r="C8" s="13">
        <v>2.81</v>
      </c>
      <c r="D8" s="14">
        <v>20</v>
      </c>
      <c r="E8" s="11">
        <f t="shared" si="0"/>
        <v>56.2</v>
      </c>
      <c r="F8" s="11">
        <v>6</v>
      </c>
      <c r="G8" s="11">
        <f t="shared" si="5"/>
        <v>16.86</v>
      </c>
      <c r="H8" s="51">
        <v>5</v>
      </c>
      <c r="I8" s="11">
        <f t="shared" si="6"/>
        <v>14.05</v>
      </c>
      <c r="J8" s="11">
        <v>0</v>
      </c>
      <c r="K8" s="11">
        <f t="shared" si="7"/>
        <v>0</v>
      </c>
      <c r="L8" s="11">
        <v>8</v>
      </c>
      <c r="M8" s="11">
        <f t="shared" si="8"/>
        <v>22.48</v>
      </c>
      <c r="N8" s="11">
        <v>5</v>
      </c>
      <c r="O8" s="11">
        <f t="shared" si="9"/>
        <v>14.05</v>
      </c>
      <c r="P8" s="11">
        <v>11</v>
      </c>
      <c r="Q8" s="11">
        <f t="shared" si="1"/>
        <v>30.91</v>
      </c>
      <c r="R8" s="11">
        <v>3</v>
      </c>
      <c r="S8" s="11">
        <f t="shared" si="2"/>
        <v>8.43</v>
      </c>
      <c r="T8" s="11">
        <v>22</v>
      </c>
      <c r="U8" s="11">
        <f t="shared" si="3"/>
        <v>61.82</v>
      </c>
      <c r="V8" s="11">
        <v>3</v>
      </c>
      <c r="W8" s="11">
        <f t="shared" si="4"/>
        <v>8.43</v>
      </c>
      <c r="X8" s="20">
        <f t="shared" si="10"/>
        <v>83</v>
      </c>
      <c r="Y8" s="11">
        <f t="shared" si="11"/>
        <v>233.23000000000002</v>
      </c>
      <c r="Z8" s="3"/>
      <c r="AA8" s="36"/>
    </row>
    <row r="9" spans="1:27">
      <c r="A9" s="11">
        <v>5</v>
      </c>
      <c r="B9" s="12" t="s">
        <v>17</v>
      </c>
      <c r="C9" s="13">
        <v>3.46</v>
      </c>
      <c r="D9" s="14">
        <v>70</v>
      </c>
      <c r="E9" s="11">
        <f t="shared" si="0"/>
        <v>242.2</v>
      </c>
      <c r="F9" s="11">
        <v>10</v>
      </c>
      <c r="G9" s="11">
        <f t="shared" si="5"/>
        <v>34.6</v>
      </c>
      <c r="H9" s="51">
        <v>16</v>
      </c>
      <c r="I9" s="11">
        <f t="shared" si="6"/>
        <v>55.36</v>
      </c>
      <c r="J9" s="11">
        <v>110</v>
      </c>
      <c r="K9" s="11">
        <f t="shared" si="7"/>
        <v>380.6</v>
      </c>
      <c r="L9" s="11">
        <v>19</v>
      </c>
      <c r="M9" s="11">
        <f t="shared" si="8"/>
        <v>65.739999999999995</v>
      </c>
      <c r="N9" s="11">
        <v>6</v>
      </c>
      <c r="O9" s="11">
        <f t="shared" si="9"/>
        <v>20.759999999999998</v>
      </c>
      <c r="P9" s="11">
        <v>20</v>
      </c>
      <c r="Q9" s="11">
        <f t="shared" si="1"/>
        <v>69.2</v>
      </c>
      <c r="R9" s="11">
        <v>52</v>
      </c>
      <c r="S9" s="11">
        <f t="shared" si="2"/>
        <v>179.92</v>
      </c>
      <c r="T9" s="11">
        <v>11</v>
      </c>
      <c r="U9" s="11">
        <f t="shared" si="3"/>
        <v>38.06</v>
      </c>
      <c r="V9" s="11">
        <v>6</v>
      </c>
      <c r="W9" s="11">
        <f t="shared" si="4"/>
        <v>20.759999999999998</v>
      </c>
      <c r="X9" s="20">
        <f t="shared" si="10"/>
        <v>320</v>
      </c>
      <c r="Y9" s="11">
        <f t="shared" si="11"/>
        <v>1107.2</v>
      </c>
      <c r="Z9" s="3"/>
      <c r="AA9" s="36"/>
    </row>
    <row r="10" spans="1:27">
      <c r="A10" s="11">
        <v>6</v>
      </c>
      <c r="B10" s="12" t="s">
        <v>18</v>
      </c>
      <c r="C10" s="13">
        <v>1.06</v>
      </c>
      <c r="D10" s="14">
        <v>0</v>
      </c>
      <c r="E10" s="11">
        <f t="shared" si="0"/>
        <v>0</v>
      </c>
      <c r="F10" s="11">
        <v>0</v>
      </c>
      <c r="G10" s="11">
        <f t="shared" si="5"/>
        <v>0</v>
      </c>
      <c r="H10" s="11">
        <v>15</v>
      </c>
      <c r="I10" s="11">
        <f t="shared" si="6"/>
        <v>15.9</v>
      </c>
      <c r="J10" s="11">
        <v>1</v>
      </c>
      <c r="K10" s="11">
        <f t="shared" si="7"/>
        <v>1.06</v>
      </c>
      <c r="L10" s="11">
        <v>0</v>
      </c>
      <c r="M10" s="11">
        <f t="shared" si="8"/>
        <v>0</v>
      </c>
      <c r="N10" s="11">
        <v>4</v>
      </c>
      <c r="O10" s="11">
        <f t="shared" si="9"/>
        <v>4.24</v>
      </c>
      <c r="P10" s="11">
        <v>0</v>
      </c>
      <c r="Q10" s="11">
        <f t="shared" si="1"/>
        <v>0</v>
      </c>
      <c r="R10" s="11">
        <v>0</v>
      </c>
      <c r="S10" s="11">
        <f t="shared" si="2"/>
        <v>0</v>
      </c>
      <c r="T10" s="11">
        <v>0</v>
      </c>
      <c r="U10" s="11">
        <f t="shared" si="3"/>
        <v>0</v>
      </c>
      <c r="V10" s="11">
        <v>119</v>
      </c>
      <c r="W10" s="11">
        <f t="shared" si="4"/>
        <v>126.14</v>
      </c>
      <c r="X10" s="20">
        <f t="shared" si="10"/>
        <v>139</v>
      </c>
      <c r="Y10" s="11">
        <f t="shared" si="11"/>
        <v>147.34</v>
      </c>
      <c r="Z10" s="3"/>
      <c r="AA10" s="36"/>
    </row>
    <row r="11" spans="1:27">
      <c r="A11" s="11">
        <v>7</v>
      </c>
      <c r="B11" s="12" t="s">
        <v>19</v>
      </c>
      <c r="C11" s="13">
        <v>3.63</v>
      </c>
      <c r="D11" s="14">
        <v>0</v>
      </c>
      <c r="E11" s="11">
        <f t="shared" si="0"/>
        <v>0</v>
      </c>
      <c r="F11" s="11">
        <v>0</v>
      </c>
      <c r="G11" s="11">
        <f t="shared" si="5"/>
        <v>0</v>
      </c>
      <c r="H11" s="11">
        <v>2</v>
      </c>
      <c r="I11" s="11">
        <f t="shared" si="6"/>
        <v>7.26</v>
      </c>
      <c r="J11" s="11">
        <v>0</v>
      </c>
      <c r="K11" s="11">
        <f t="shared" si="7"/>
        <v>0</v>
      </c>
      <c r="L11" s="11">
        <v>0</v>
      </c>
      <c r="M11" s="11">
        <f t="shared" si="8"/>
        <v>0</v>
      </c>
      <c r="N11" s="11">
        <v>0</v>
      </c>
      <c r="O11" s="11">
        <f t="shared" si="9"/>
        <v>0</v>
      </c>
      <c r="P11" s="11">
        <v>0</v>
      </c>
      <c r="Q11" s="11">
        <f t="shared" si="1"/>
        <v>0</v>
      </c>
      <c r="R11" s="11">
        <v>0</v>
      </c>
      <c r="S11" s="11">
        <f t="shared" si="2"/>
        <v>0</v>
      </c>
      <c r="T11" s="11">
        <v>0</v>
      </c>
      <c r="U11" s="11">
        <f t="shared" si="3"/>
        <v>0</v>
      </c>
      <c r="V11" s="11">
        <v>3</v>
      </c>
      <c r="W11" s="11">
        <f t="shared" si="4"/>
        <v>10.89</v>
      </c>
      <c r="X11" s="20">
        <f t="shared" si="10"/>
        <v>5</v>
      </c>
      <c r="Y11" s="11">
        <f t="shared" si="11"/>
        <v>18.149999999999999</v>
      </c>
      <c r="Z11" s="3"/>
      <c r="AA11" s="36"/>
    </row>
    <row r="12" spans="1:27">
      <c r="A12" s="11">
        <v>8</v>
      </c>
      <c r="B12" s="12" t="s">
        <v>20</v>
      </c>
      <c r="C12" s="13">
        <v>0.85</v>
      </c>
      <c r="D12" s="14">
        <v>0</v>
      </c>
      <c r="E12" s="11">
        <f t="shared" si="0"/>
        <v>0</v>
      </c>
      <c r="F12" s="11">
        <v>0</v>
      </c>
      <c r="G12" s="11">
        <f t="shared" si="5"/>
        <v>0</v>
      </c>
      <c r="H12" s="11">
        <v>0</v>
      </c>
      <c r="I12" s="11">
        <f t="shared" si="6"/>
        <v>0</v>
      </c>
      <c r="J12" s="11">
        <v>0</v>
      </c>
      <c r="K12" s="11">
        <f t="shared" si="7"/>
        <v>0</v>
      </c>
      <c r="L12" s="11">
        <v>0</v>
      </c>
      <c r="M12" s="11">
        <f t="shared" si="8"/>
        <v>0</v>
      </c>
      <c r="N12" s="11">
        <v>0</v>
      </c>
      <c r="O12" s="11">
        <f t="shared" si="9"/>
        <v>0</v>
      </c>
      <c r="P12" s="11">
        <v>0</v>
      </c>
      <c r="Q12" s="11">
        <f t="shared" si="1"/>
        <v>0</v>
      </c>
      <c r="R12" s="11">
        <v>0</v>
      </c>
      <c r="S12" s="11">
        <f t="shared" si="2"/>
        <v>0</v>
      </c>
      <c r="T12" s="11">
        <v>0</v>
      </c>
      <c r="U12" s="11">
        <f t="shared" si="3"/>
        <v>0</v>
      </c>
      <c r="V12" s="11">
        <v>0</v>
      </c>
      <c r="W12" s="11">
        <f t="shared" si="4"/>
        <v>0</v>
      </c>
      <c r="X12" s="20">
        <f t="shared" si="10"/>
        <v>0</v>
      </c>
      <c r="Y12" s="11">
        <f t="shared" si="11"/>
        <v>0</v>
      </c>
      <c r="Z12" s="3"/>
      <c r="AA12" s="36"/>
    </row>
    <row r="13" spans="1:27" ht="15" customHeight="1">
      <c r="A13" s="11">
        <v>9</v>
      </c>
      <c r="B13" s="12" t="s">
        <v>21</v>
      </c>
      <c r="C13" s="13">
        <v>1.98</v>
      </c>
      <c r="D13" s="14">
        <v>100</v>
      </c>
      <c r="E13" s="11">
        <f t="shared" si="0"/>
        <v>198</v>
      </c>
      <c r="F13" s="11">
        <v>120</v>
      </c>
      <c r="G13" s="11">
        <f t="shared" si="5"/>
        <v>237.6</v>
      </c>
      <c r="H13" s="11">
        <v>107</v>
      </c>
      <c r="I13" s="11">
        <f t="shared" si="6"/>
        <v>211.85999999999999</v>
      </c>
      <c r="J13" s="11">
        <v>682</v>
      </c>
      <c r="K13" s="11">
        <f>J13*C13</f>
        <v>1350.36</v>
      </c>
      <c r="L13" s="11">
        <v>27</v>
      </c>
      <c r="M13" s="11">
        <f t="shared" si="8"/>
        <v>53.46</v>
      </c>
      <c r="N13" s="11">
        <v>68</v>
      </c>
      <c r="O13" s="11">
        <f t="shared" si="9"/>
        <v>134.63999999999999</v>
      </c>
      <c r="P13" s="11">
        <v>84</v>
      </c>
      <c r="Q13" s="11">
        <f t="shared" si="1"/>
        <v>166.32</v>
      </c>
      <c r="R13" s="11">
        <v>332</v>
      </c>
      <c r="S13" s="11">
        <f t="shared" si="2"/>
        <v>657.36</v>
      </c>
      <c r="T13" s="11">
        <v>100</v>
      </c>
      <c r="U13" s="11">
        <f t="shared" si="3"/>
        <v>198</v>
      </c>
      <c r="V13" s="11">
        <v>94</v>
      </c>
      <c r="W13" s="11">
        <f t="shared" si="4"/>
        <v>186.12</v>
      </c>
      <c r="X13" s="20">
        <f t="shared" si="10"/>
        <v>1714</v>
      </c>
      <c r="Y13" s="11">
        <f t="shared" si="11"/>
        <v>3393.72</v>
      </c>
      <c r="Z13" s="3"/>
      <c r="AA13" s="36"/>
    </row>
    <row r="14" spans="1:27">
      <c r="A14" s="11">
        <v>10</v>
      </c>
      <c r="B14" s="15" t="s">
        <v>22</v>
      </c>
      <c r="C14" s="13">
        <v>1.98</v>
      </c>
      <c r="D14" s="14">
        <v>10</v>
      </c>
      <c r="E14" s="11">
        <f t="shared" si="0"/>
        <v>19.8</v>
      </c>
      <c r="F14" s="11">
        <v>57</v>
      </c>
      <c r="G14" s="11">
        <f t="shared" si="5"/>
        <v>112.86</v>
      </c>
      <c r="H14" s="11">
        <v>0</v>
      </c>
      <c r="I14" s="11">
        <f t="shared" si="6"/>
        <v>0</v>
      </c>
      <c r="J14" s="11">
        <v>0</v>
      </c>
      <c r="K14" s="11">
        <f>J14*C14</f>
        <v>0</v>
      </c>
      <c r="L14" s="11">
        <v>7</v>
      </c>
      <c r="M14" s="11">
        <f t="shared" si="8"/>
        <v>13.86</v>
      </c>
      <c r="N14" s="11">
        <v>11</v>
      </c>
      <c r="O14" s="11">
        <f t="shared" si="9"/>
        <v>21.78</v>
      </c>
      <c r="P14" s="11">
        <v>7</v>
      </c>
      <c r="Q14" s="11">
        <f t="shared" si="1"/>
        <v>13.86</v>
      </c>
      <c r="R14" s="11">
        <v>21</v>
      </c>
      <c r="S14" s="11">
        <f t="shared" si="2"/>
        <v>41.58</v>
      </c>
      <c r="T14" s="11">
        <v>14</v>
      </c>
      <c r="U14" s="11">
        <f t="shared" si="3"/>
        <v>27.72</v>
      </c>
      <c r="V14" s="11">
        <v>2</v>
      </c>
      <c r="W14" s="11">
        <f t="shared" si="4"/>
        <v>3.96</v>
      </c>
      <c r="X14" s="20">
        <f t="shared" si="10"/>
        <v>129</v>
      </c>
      <c r="Y14" s="11">
        <f t="shared" si="11"/>
        <v>255.42</v>
      </c>
      <c r="Z14" s="3"/>
      <c r="AA14" s="36"/>
    </row>
    <row r="15" spans="1:27" ht="13.5" customHeight="1">
      <c r="A15" s="11">
        <v>11</v>
      </c>
      <c r="B15" s="12" t="s">
        <v>23</v>
      </c>
      <c r="C15" s="13">
        <v>4.6900000000000004</v>
      </c>
      <c r="D15" s="14">
        <v>0</v>
      </c>
      <c r="E15" s="11">
        <f t="shared" si="0"/>
        <v>0</v>
      </c>
      <c r="F15" s="11">
        <v>2</v>
      </c>
      <c r="G15" s="11">
        <f t="shared" si="5"/>
        <v>9.3800000000000008</v>
      </c>
      <c r="H15" s="32">
        <v>21</v>
      </c>
      <c r="I15" s="11">
        <f t="shared" si="6"/>
        <v>98.490000000000009</v>
      </c>
      <c r="J15" s="11">
        <v>2</v>
      </c>
      <c r="K15" s="11">
        <f t="shared" si="7"/>
        <v>9.3800000000000008</v>
      </c>
      <c r="L15" s="11">
        <v>24</v>
      </c>
      <c r="M15" s="11">
        <f t="shared" si="8"/>
        <v>112.56</v>
      </c>
      <c r="N15" s="11">
        <v>21</v>
      </c>
      <c r="O15" s="11">
        <f t="shared" si="9"/>
        <v>98.490000000000009</v>
      </c>
      <c r="P15" s="11">
        <v>0</v>
      </c>
      <c r="Q15" s="11">
        <f t="shared" si="1"/>
        <v>0</v>
      </c>
      <c r="R15" s="32">
        <v>0</v>
      </c>
      <c r="S15" s="11">
        <f t="shared" si="2"/>
        <v>0</v>
      </c>
      <c r="T15" s="32">
        <v>0</v>
      </c>
      <c r="U15" s="11">
        <f>T15*C15</f>
        <v>0</v>
      </c>
      <c r="V15" s="32">
        <v>3</v>
      </c>
      <c r="W15" s="11">
        <f t="shared" si="4"/>
        <v>14.07</v>
      </c>
      <c r="X15" s="20">
        <f t="shared" si="10"/>
        <v>73</v>
      </c>
      <c r="Y15" s="11">
        <f t="shared" si="11"/>
        <v>342.37</v>
      </c>
      <c r="Z15" s="3"/>
      <c r="AA15" s="36"/>
    </row>
    <row r="16" spans="1:27">
      <c r="A16" s="11">
        <v>12</v>
      </c>
      <c r="B16" s="12" t="s">
        <v>24</v>
      </c>
      <c r="C16" s="13">
        <v>2.9</v>
      </c>
      <c r="D16" s="14">
        <v>0</v>
      </c>
      <c r="E16" s="11">
        <f t="shared" si="0"/>
        <v>0</v>
      </c>
      <c r="F16" s="11">
        <v>0</v>
      </c>
      <c r="G16" s="11">
        <f t="shared" si="5"/>
        <v>0</v>
      </c>
      <c r="H16" s="32">
        <v>1</v>
      </c>
      <c r="I16" s="11">
        <f t="shared" si="6"/>
        <v>2.9</v>
      </c>
      <c r="J16" s="11">
        <v>0</v>
      </c>
      <c r="K16" s="11">
        <f t="shared" si="7"/>
        <v>0</v>
      </c>
      <c r="L16" s="11">
        <v>2</v>
      </c>
      <c r="M16" s="11">
        <f t="shared" si="8"/>
        <v>5.8</v>
      </c>
      <c r="N16" s="11">
        <v>2</v>
      </c>
      <c r="O16" s="11">
        <f t="shared" si="9"/>
        <v>5.8</v>
      </c>
      <c r="P16" s="11">
        <v>0</v>
      </c>
      <c r="Q16" s="11">
        <f t="shared" si="1"/>
        <v>0</v>
      </c>
      <c r="R16" s="32">
        <v>0</v>
      </c>
      <c r="S16" s="11">
        <f t="shared" si="2"/>
        <v>0</v>
      </c>
      <c r="T16" s="32">
        <v>0</v>
      </c>
      <c r="U16" s="11">
        <f t="shared" si="3"/>
        <v>0</v>
      </c>
      <c r="V16" s="11">
        <v>0</v>
      </c>
      <c r="W16" s="11">
        <f t="shared" si="4"/>
        <v>0</v>
      </c>
      <c r="X16" s="20">
        <f>D16+F16+H16+J16+L16+N16+P16+R16+T16+V16</f>
        <v>5</v>
      </c>
      <c r="Y16" s="11">
        <f>X16*C16</f>
        <v>14.5</v>
      </c>
      <c r="Z16" s="3"/>
      <c r="AA16" s="36"/>
    </row>
    <row r="17" spans="1:27">
      <c r="A17" s="11">
        <v>13</v>
      </c>
      <c r="B17" s="12" t="s">
        <v>55</v>
      </c>
      <c r="C17" s="13">
        <v>1.9</v>
      </c>
      <c r="D17" s="14">
        <v>0</v>
      </c>
      <c r="E17" s="11">
        <f>D17*C17</f>
        <v>0</v>
      </c>
      <c r="F17" s="14">
        <v>0</v>
      </c>
      <c r="G17" s="11">
        <f>F17*C17</f>
        <v>0</v>
      </c>
      <c r="H17" s="14">
        <v>0</v>
      </c>
      <c r="I17" s="11">
        <f t="shared" si="6"/>
        <v>0</v>
      </c>
      <c r="J17" s="14">
        <v>0</v>
      </c>
      <c r="K17" s="11">
        <f t="shared" si="7"/>
        <v>0</v>
      </c>
      <c r="L17" s="14">
        <v>0</v>
      </c>
      <c r="M17" s="11">
        <f t="shared" si="8"/>
        <v>0</v>
      </c>
      <c r="N17" s="14">
        <v>0</v>
      </c>
      <c r="O17" s="11">
        <f>N17*C17</f>
        <v>0</v>
      </c>
      <c r="P17" s="32">
        <v>0</v>
      </c>
      <c r="Q17" s="11">
        <f t="shared" si="1"/>
        <v>0</v>
      </c>
      <c r="R17" s="32">
        <v>0</v>
      </c>
      <c r="S17" s="11">
        <f t="shared" si="2"/>
        <v>0</v>
      </c>
      <c r="T17" s="26">
        <v>0</v>
      </c>
      <c r="U17" s="11">
        <f>T17*C17</f>
        <v>0</v>
      </c>
      <c r="V17" s="11">
        <v>0</v>
      </c>
      <c r="W17" s="52">
        <f t="shared" si="4"/>
        <v>0</v>
      </c>
      <c r="X17" s="55">
        <f>D17+F17+H17+J17+L17+N17+P17+R17+T17+V17</f>
        <v>0</v>
      </c>
      <c r="Y17" s="52">
        <f t="shared" si="11"/>
        <v>0</v>
      </c>
    </row>
    <row r="18" spans="1:27">
      <c r="A18" s="11">
        <v>14</v>
      </c>
      <c r="B18" s="12" t="s">
        <v>56</v>
      </c>
      <c r="C18" s="13">
        <v>2.4</v>
      </c>
      <c r="D18" s="14">
        <v>0</v>
      </c>
      <c r="E18" s="11">
        <f>D18*C18</f>
        <v>0</v>
      </c>
      <c r="F18" s="14">
        <v>0</v>
      </c>
      <c r="G18" s="11">
        <f>F18*C18</f>
        <v>0</v>
      </c>
      <c r="H18" s="14">
        <v>0</v>
      </c>
      <c r="I18" s="11">
        <f t="shared" si="6"/>
        <v>0</v>
      </c>
      <c r="J18" s="14">
        <v>0</v>
      </c>
      <c r="K18" s="11">
        <f t="shared" si="7"/>
        <v>0</v>
      </c>
      <c r="L18" s="14">
        <v>0</v>
      </c>
      <c r="M18" s="11">
        <f t="shared" si="8"/>
        <v>0</v>
      </c>
      <c r="N18" s="14">
        <v>0</v>
      </c>
      <c r="O18" s="11">
        <f>N18*C18</f>
        <v>0</v>
      </c>
      <c r="P18" s="32">
        <v>0</v>
      </c>
      <c r="Q18" s="11">
        <f t="shared" si="1"/>
        <v>0</v>
      </c>
      <c r="R18" s="32">
        <v>0</v>
      </c>
      <c r="S18" s="11">
        <f t="shared" si="2"/>
        <v>0</v>
      </c>
      <c r="T18" s="26">
        <v>0</v>
      </c>
      <c r="U18" s="11">
        <f>T18*C18</f>
        <v>0</v>
      </c>
      <c r="V18" s="11">
        <v>0</v>
      </c>
      <c r="W18" s="53">
        <f t="shared" si="4"/>
        <v>0</v>
      </c>
      <c r="X18" s="54">
        <f t="shared" si="10"/>
        <v>0</v>
      </c>
      <c r="Y18" s="53">
        <f t="shared" si="11"/>
        <v>0</v>
      </c>
    </row>
    <row r="19" spans="1:27">
      <c r="A19" s="11">
        <v>15</v>
      </c>
      <c r="B19" s="12" t="s">
        <v>25</v>
      </c>
      <c r="C19" s="13">
        <v>1.5</v>
      </c>
      <c r="D19" s="31">
        <v>0</v>
      </c>
      <c r="E19" s="11">
        <f t="shared" si="0"/>
        <v>0</v>
      </c>
      <c r="F19" s="32">
        <v>9</v>
      </c>
      <c r="G19" s="11">
        <f>F19*C19</f>
        <v>13.5</v>
      </c>
      <c r="H19" s="32">
        <v>6</v>
      </c>
      <c r="I19" s="11">
        <f t="shared" si="6"/>
        <v>9</v>
      </c>
      <c r="J19" s="32">
        <v>30</v>
      </c>
      <c r="K19" s="11">
        <f t="shared" si="7"/>
        <v>45</v>
      </c>
      <c r="L19" s="32">
        <v>25</v>
      </c>
      <c r="M19" s="11">
        <f t="shared" si="8"/>
        <v>37.5</v>
      </c>
      <c r="N19" s="32">
        <v>120</v>
      </c>
      <c r="O19" s="11">
        <f>C19*N19</f>
        <v>180</v>
      </c>
      <c r="P19" s="32">
        <v>0</v>
      </c>
      <c r="Q19" s="11">
        <f t="shared" si="1"/>
        <v>0</v>
      </c>
      <c r="R19" s="32">
        <v>0</v>
      </c>
      <c r="S19" s="11">
        <f t="shared" si="2"/>
        <v>0</v>
      </c>
      <c r="T19" s="32">
        <v>0</v>
      </c>
      <c r="U19" s="11">
        <f t="shared" si="3"/>
        <v>0</v>
      </c>
      <c r="V19" s="32">
        <v>141</v>
      </c>
      <c r="W19" s="11">
        <f t="shared" si="4"/>
        <v>211.5</v>
      </c>
      <c r="X19" s="20">
        <f t="shared" si="10"/>
        <v>331</v>
      </c>
      <c r="Y19" s="11">
        <f t="shared" si="11"/>
        <v>496.5</v>
      </c>
      <c r="Z19" s="3"/>
      <c r="AA19" s="36"/>
    </row>
    <row r="20" spans="1:27">
      <c r="A20" s="11">
        <v>16</v>
      </c>
      <c r="B20" s="12" t="s">
        <v>58</v>
      </c>
      <c r="C20" s="13">
        <v>5.38</v>
      </c>
      <c r="D20" s="14">
        <v>15</v>
      </c>
      <c r="E20" s="11">
        <f>D20*C20</f>
        <v>80.7</v>
      </c>
      <c r="F20" s="14">
        <v>0</v>
      </c>
      <c r="G20" s="11">
        <f>F20*C20</f>
        <v>0</v>
      </c>
      <c r="H20" s="14">
        <v>0</v>
      </c>
      <c r="I20" s="11">
        <f t="shared" si="6"/>
        <v>0</v>
      </c>
      <c r="J20" s="14">
        <v>0</v>
      </c>
      <c r="K20" s="11">
        <f t="shared" si="7"/>
        <v>0</v>
      </c>
      <c r="L20" s="14">
        <v>0</v>
      </c>
      <c r="M20" s="26">
        <f t="shared" si="8"/>
        <v>0</v>
      </c>
      <c r="N20" s="14">
        <v>0</v>
      </c>
      <c r="O20" s="11">
        <f>N20*C20</f>
        <v>0</v>
      </c>
      <c r="P20" s="32">
        <v>6</v>
      </c>
      <c r="Q20" s="11">
        <f t="shared" si="1"/>
        <v>32.28</v>
      </c>
      <c r="R20" s="32">
        <v>0</v>
      </c>
      <c r="S20" s="11">
        <f t="shared" si="2"/>
        <v>0</v>
      </c>
      <c r="T20" s="26">
        <v>1</v>
      </c>
      <c r="U20" s="11">
        <f t="shared" si="3"/>
        <v>5.38</v>
      </c>
      <c r="V20" s="32">
        <v>0</v>
      </c>
      <c r="W20" s="11">
        <f>V20*C20</f>
        <v>0</v>
      </c>
      <c r="X20" s="20">
        <f>D20+F20+H20+J20+L20+N20+P20+R20+T20+V20</f>
        <v>22</v>
      </c>
      <c r="Y20" s="11">
        <f>X20*C20</f>
        <v>118.36</v>
      </c>
    </row>
    <row r="21" spans="1:27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>
        <v>0</v>
      </c>
      <c r="G21" s="11">
        <f>F21*A21</f>
        <v>0</v>
      </c>
      <c r="H21" s="32">
        <v>0</v>
      </c>
      <c r="I21" s="11">
        <f t="shared" si="6"/>
        <v>0</v>
      </c>
      <c r="J21" s="32">
        <v>0</v>
      </c>
      <c r="K21" s="11">
        <f t="shared" si="7"/>
        <v>0</v>
      </c>
      <c r="L21" s="38">
        <v>0</v>
      </c>
      <c r="M21" s="26">
        <f>L21*C21</f>
        <v>0</v>
      </c>
      <c r="N21" s="26">
        <v>0</v>
      </c>
      <c r="O21" s="26">
        <f>N21*C21</f>
        <v>0</v>
      </c>
      <c r="P21" s="32">
        <v>0</v>
      </c>
      <c r="Q21" s="11">
        <f t="shared" si="1"/>
        <v>0</v>
      </c>
      <c r="R21" s="32">
        <v>0</v>
      </c>
      <c r="S21" s="11">
        <f t="shared" si="2"/>
        <v>0</v>
      </c>
      <c r="T21" s="26">
        <v>0</v>
      </c>
      <c r="U21" s="11">
        <f t="shared" si="3"/>
        <v>0</v>
      </c>
      <c r="V21" s="32">
        <v>0</v>
      </c>
      <c r="W21" s="11">
        <f>V21*C21</f>
        <v>0</v>
      </c>
      <c r="X21" s="20">
        <f>D21+F21+H21+J21+L21+N21+P21+R21+T21+V21</f>
        <v>0</v>
      </c>
      <c r="Y21" s="11">
        <f>X21*C21</f>
        <v>0</v>
      </c>
    </row>
    <row r="22" spans="1:27">
      <c r="A22" s="16"/>
      <c r="B22" s="17" t="s">
        <v>6</v>
      </c>
      <c r="C22" s="17"/>
      <c r="D22" s="17"/>
      <c r="E22" s="17">
        <f>SUM(E5:E21)</f>
        <v>941.4</v>
      </c>
      <c r="F22" s="17"/>
      <c r="G22" s="17">
        <f>SUM(G5:G21)</f>
        <v>493.5</v>
      </c>
      <c r="H22" s="17"/>
      <c r="I22" s="17">
        <f>SUM(I5:I21)</f>
        <v>679.13</v>
      </c>
      <c r="J22" s="17"/>
      <c r="K22" s="17">
        <f>SUM(K5:K21)</f>
        <v>1809.3</v>
      </c>
      <c r="L22" s="17"/>
      <c r="M22" s="17">
        <f>SUM(M5:M21)</f>
        <v>543.06999999999994</v>
      </c>
      <c r="N22" s="17"/>
      <c r="O22" s="17">
        <f>SUM(O5:O21)</f>
        <v>680.91000000000008</v>
      </c>
      <c r="P22" s="17"/>
      <c r="Q22" s="17">
        <f>SUM(Q5:Q21)</f>
        <v>1224.1999999999998</v>
      </c>
      <c r="R22" s="17"/>
      <c r="S22" s="17">
        <f>SUM(S5:S21)</f>
        <v>2724.32</v>
      </c>
      <c r="T22" s="17"/>
      <c r="U22" s="17">
        <f>SUM(U5:U21)</f>
        <v>663.73</v>
      </c>
      <c r="V22" s="17"/>
      <c r="W22" s="17">
        <f>SUM(W5:W21)</f>
        <v>808.03000000000009</v>
      </c>
      <c r="X22" s="17"/>
      <c r="Y22" s="21">
        <f>E22+G22+I22+K22+M22+O22+Q22+S22+U22+W22</f>
        <v>10567.59</v>
      </c>
      <c r="Z22" s="3"/>
    </row>
    <row r="23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</sheetData>
  <mergeCells count="7">
    <mergeCell ref="V3:W3"/>
    <mergeCell ref="X3:Y3"/>
    <mergeCell ref="D3:E3"/>
    <mergeCell ref="F3:G3"/>
    <mergeCell ref="P3:Q3"/>
    <mergeCell ref="R3:S3"/>
    <mergeCell ref="T3:U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selection activeCell="I5" sqref="I5"/>
    </sheetView>
  </sheetViews>
  <sheetFormatPr baseColWidth="10" defaultColWidth="14.453125" defaultRowHeight="14.5"/>
  <cols>
    <col min="1" max="1" width="11.453125" style="22" customWidth="1"/>
    <col min="2" max="2" width="22.54296875" style="22" customWidth="1"/>
    <col min="3" max="3" width="15.1796875" style="22" customWidth="1"/>
    <col min="4" max="26" width="9.54296875" style="22" customWidth="1"/>
    <col min="27" max="27" width="8.7265625" style="22" customWidth="1"/>
    <col min="28" max="16384" width="14.453125" style="2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0</v>
      </c>
      <c r="B2" s="2">
        <v>45627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4"/>
      <c r="B3" s="5"/>
      <c r="C3" s="6"/>
      <c r="D3" s="73" t="s">
        <v>1</v>
      </c>
      <c r="E3" s="74"/>
      <c r="F3" s="73" t="s">
        <v>44</v>
      </c>
      <c r="G3" s="100"/>
      <c r="H3" s="7" t="s">
        <v>33</v>
      </c>
      <c r="I3" s="7"/>
      <c r="J3" s="7" t="s">
        <v>41</v>
      </c>
      <c r="K3" s="7"/>
      <c r="L3" s="7" t="s">
        <v>45</v>
      </c>
      <c r="M3" s="7"/>
      <c r="N3" s="7" t="s">
        <v>43</v>
      </c>
      <c r="O3" s="7"/>
      <c r="P3" s="71" t="s">
        <v>2</v>
      </c>
      <c r="Q3" s="99"/>
      <c r="R3" s="71" t="s">
        <v>3</v>
      </c>
      <c r="S3" s="72"/>
      <c r="T3" s="75" t="s">
        <v>4</v>
      </c>
      <c r="U3" s="76"/>
      <c r="V3" s="71" t="s">
        <v>5</v>
      </c>
      <c r="W3" s="77"/>
      <c r="X3" s="71" t="s">
        <v>6</v>
      </c>
      <c r="Y3" s="72"/>
      <c r="Z3" s="3"/>
    </row>
    <row r="4" spans="1:27">
      <c r="A4" s="8"/>
      <c r="B4" s="9" t="s">
        <v>7</v>
      </c>
      <c r="C4" s="9" t="s">
        <v>8</v>
      </c>
      <c r="D4" s="10" t="s">
        <v>9</v>
      </c>
      <c r="E4" s="10" t="s">
        <v>10</v>
      </c>
      <c r="F4" s="10" t="s">
        <v>9</v>
      </c>
      <c r="G4" s="10" t="s">
        <v>10</v>
      </c>
      <c r="H4" s="10" t="s">
        <v>9</v>
      </c>
      <c r="I4" s="10" t="s">
        <v>10</v>
      </c>
      <c r="J4" s="10" t="s">
        <v>9</v>
      </c>
      <c r="K4" s="10" t="s">
        <v>10</v>
      </c>
      <c r="L4" s="10" t="s">
        <v>9</v>
      </c>
      <c r="M4" s="10" t="s">
        <v>10</v>
      </c>
      <c r="N4" s="10" t="s">
        <v>9</v>
      </c>
      <c r="O4" s="10" t="s">
        <v>10</v>
      </c>
      <c r="P4" s="18" t="s">
        <v>11</v>
      </c>
      <c r="Q4" s="19" t="s">
        <v>12</v>
      </c>
      <c r="R4" s="18" t="s">
        <v>11</v>
      </c>
      <c r="S4" s="19" t="s">
        <v>12</v>
      </c>
      <c r="T4" s="18" t="s">
        <v>11</v>
      </c>
      <c r="U4" s="19" t="s">
        <v>12</v>
      </c>
      <c r="V4" s="18" t="s">
        <v>11</v>
      </c>
      <c r="W4" s="19" t="s">
        <v>12</v>
      </c>
      <c r="X4" s="18" t="s">
        <v>11</v>
      </c>
      <c r="Y4" s="19" t="s">
        <v>12</v>
      </c>
      <c r="Z4" s="3"/>
      <c r="AA4" s="36"/>
    </row>
    <row r="5" spans="1:27">
      <c r="A5" s="11">
        <v>1</v>
      </c>
      <c r="B5" s="12" t="s">
        <v>13</v>
      </c>
      <c r="C5" s="13">
        <v>0.99</v>
      </c>
      <c r="D5" s="14">
        <f>'OUTSTATION-AFRICA LAB '!D5+'UBIPHARM-OUTSTATION'!D5+'LABOREX OUTSTATION'!D5+'CAMED &amp; TEDIS OUTSTATION'!D5</f>
        <v>800</v>
      </c>
      <c r="E5" s="11">
        <f>D5*C5</f>
        <v>792</v>
      </c>
      <c r="F5" s="14">
        <f>'OUTSTATION-AFRICA LAB '!F5+'UBIPHARM-OUTSTATION'!F5+'LABOREX OUTSTATION'!F5+'CAMED &amp; TEDIS OUTSTATION'!F5</f>
        <v>190</v>
      </c>
      <c r="G5" s="11">
        <f>C5*F5</f>
        <v>188.1</v>
      </c>
      <c r="H5" s="14">
        <f>'OUTSTATION-AFRICA LAB '!H5+'UBIPHARM-OUTSTATION'!H5+'LABOREX OUTSTATION'!H5+'CAMED &amp; TEDIS OUTSTATION'!H5</f>
        <v>262</v>
      </c>
      <c r="I5" s="11">
        <f>H5*C5</f>
        <v>259.38</v>
      </c>
      <c r="J5" s="14">
        <f>'OUTSTATION-AFRICA LAB '!J5+'UBIPHARM-OUTSTATION'!J5+'LABOREX OUTSTATION'!J5+'CAMED &amp; TEDIS OUTSTATION'!J5</f>
        <v>224</v>
      </c>
      <c r="K5" s="11">
        <f>J5*C5</f>
        <v>221.76</v>
      </c>
      <c r="L5" s="14">
        <f>'OUTSTATION-AFRICA LAB '!L5+'UBIPHARM-OUTSTATION'!L5+'LABOREX OUTSTATION'!L5+'CAMED &amp; TEDIS OUTSTATION'!L5</f>
        <v>1445</v>
      </c>
      <c r="M5" s="11">
        <f>L5*C5</f>
        <v>1430.55</v>
      </c>
      <c r="N5" s="14">
        <f>'OUTSTATION-AFRICA LAB '!N5+'UBIPHARM-OUTSTATION'!N5+'LABOREX OUTSTATION'!N5+'CAMED &amp; TEDIS OUTSTATION'!N5</f>
        <v>98</v>
      </c>
      <c r="O5" s="11">
        <f>C5*N5</f>
        <v>97.02</v>
      </c>
      <c r="P5" s="14">
        <f>'OUTSTATION-AFRICA LAB '!P5+'UBIPHARM-OUTSTATION'!P5+'LABOREX OUTSTATION'!P5+'CAMED &amp; TEDIS OUTSTATION'!P5</f>
        <v>1505</v>
      </c>
      <c r="Q5" s="11">
        <f>P5*C5</f>
        <v>1489.95</v>
      </c>
      <c r="R5" s="14">
        <f>'OUTSTATION-AFRICA LAB '!R5+'UBIPHARM-OUTSTATION'!R5+'LABOREX OUTSTATION'!R5+'CAMED &amp; TEDIS OUTSTATION'!R5</f>
        <v>1535</v>
      </c>
      <c r="S5" s="11">
        <f>R5*C5</f>
        <v>1519.65</v>
      </c>
      <c r="T5" s="14">
        <f>'OUTSTATION-AFRICA LAB '!T5+'UBIPHARM-OUTSTATION'!T5+'LABOREX OUTSTATION'!T5+'CAMED &amp; TEDIS OUTSTATION'!T5</f>
        <v>296</v>
      </c>
      <c r="U5" s="11">
        <f>T5*C5</f>
        <v>293.04000000000002</v>
      </c>
      <c r="V5" s="14">
        <f>'OUTSTATION-AFRICA LAB '!V5+'UBIPHARM-OUTSTATION'!V5+'LABOREX OUTSTATION'!V5+'CAMED &amp; TEDIS OUTSTATION'!V5</f>
        <v>6016</v>
      </c>
      <c r="W5" s="11">
        <f>V5*C5</f>
        <v>5955.84</v>
      </c>
      <c r="X5" s="20">
        <f>D5+F5+H5+J5+L5+N5+P5+R5+T5+V5</f>
        <v>12371</v>
      </c>
      <c r="Y5" s="11">
        <f>X5*C5</f>
        <v>12247.289999999999</v>
      </c>
      <c r="Z5" s="3"/>
      <c r="AA5" s="36"/>
    </row>
    <row r="6" spans="1:27">
      <c r="A6" s="11">
        <v>2</v>
      </c>
      <c r="B6" s="12" t="s">
        <v>14</v>
      </c>
      <c r="C6" s="13">
        <v>2.29</v>
      </c>
      <c r="D6" s="14">
        <f>'OUTSTATION-AFRICA LAB '!D6+'UBIPHARM-OUTSTATION'!D6+'LABOREX OUTSTATION'!D6+'CAMED &amp; TEDIS OUTSTATION'!D6</f>
        <v>50</v>
      </c>
      <c r="E6" s="11">
        <f t="shared" ref="E6:E17" si="0">D6*C6</f>
        <v>114.5</v>
      </c>
      <c r="F6" s="14">
        <f>'OUTSTATION-AFRICA LAB '!F6+'UBIPHARM-OUTSTATION'!F6+'LABOREX OUTSTATION'!F6+'CAMED &amp; TEDIS OUTSTATION'!F6</f>
        <v>44</v>
      </c>
      <c r="G6" s="11">
        <f t="shared" ref="G6:G17" si="1">C6*F6</f>
        <v>100.76</v>
      </c>
      <c r="H6" s="14">
        <f>'OUTSTATION-AFRICA LAB '!H6+'UBIPHARM-OUTSTATION'!H6+'LABOREX OUTSTATION'!H6+'CAMED &amp; TEDIS OUTSTATION'!H6</f>
        <v>16</v>
      </c>
      <c r="I6" s="11">
        <f t="shared" ref="I6:I17" si="2">H6*C6</f>
        <v>36.64</v>
      </c>
      <c r="J6" s="14">
        <f>'OUTSTATION-AFRICA LAB '!J6+'UBIPHARM-OUTSTATION'!J6+'LABOREX OUTSTATION'!J6+'CAMED &amp; TEDIS OUTSTATION'!J6</f>
        <v>10</v>
      </c>
      <c r="K6" s="11">
        <f t="shared" ref="K6:K17" si="3">J6*C6</f>
        <v>22.9</v>
      </c>
      <c r="L6" s="14">
        <f>'OUTSTATION-AFRICA LAB '!L6+'UBIPHARM-OUTSTATION'!L6+'LABOREX OUTSTATION'!L6+'CAMED &amp; TEDIS OUTSTATION'!L6</f>
        <v>16</v>
      </c>
      <c r="M6" s="11">
        <f t="shared" ref="M6:M17" si="4">L6*C6</f>
        <v>36.64</v>
      </c>
      <c r="N6" s="14">
        <f>'OUTSTATION-AFRICA LAB '!N6+'UBIPHARM-OUTSTATION'!N6+'LABOREX OUTSTATION'!N6+'CAMED &amp; TEDIS OUTSTATION'!N6</f>
        <v>49</v>
      </c>
      <c r="O6" s="11">
        <f t="shared" ref="O6:O17" si="5">C6*N6</f>
        <v>112.21000000000001</v>
      </c>
      <c r="P6" s="14">
        <f>'OUTSTATION-AFRICA LAB '!P6+'UBIPHARM-OUTSTATION'!P6+'LABOREX OUTSTATION'!P6+'CAMED &amp; TEDIS OUTSTATION'!P6</f>
        <v>34</v>
      </c>
      <c r="Q6" s="11">
        <f t="shared" ref="Q6:Q17" si="6">P6*C6</f>
        <v>77.86</v>
      </c>
      <c r="R6" s="14">
        <f>'OUTSTATION-AFRICA LAB '!R6+'UBIPHARM-OUTSTATION'!R6+'LABOREX OUTSTATION'!R6+'CAMED &amp; TEDIS OUTSTATION'!R6</f>
        <v>170</v>
      </c>
      <c r="S6" s="11">
        <f t="shared" ref="S6:S17" si="7">R6*C6</f>
        <v>389.3</v>
      </c>
      <c r="T6" s="14">
        <f>'OUTSTATION-AFRICA LAB '!T6+'UBIPHARM-OUTSTATION'!T6+'LABOREX OUTSTATION'!T6+'CAMED &amp; TEDIS OUTSTATION'!T6</f>
        <v>39</v>
      </c>
      <c r="U6" s="11">
        <f t="shared" ref="U6:U17" si="8">T6*C6</f>
        <v>89.31</v>
      </c>
      <c r="V6" s="14">
        <f>'OUTSTATION-AFRICA LAB '!V6+'UBIPHARM-OUTSTATION'!V6+'LABOREX OUTSTATION'!V6+'CAMED &amp; TEDIS OUTSTATION'!V6</f>
        <v>44</v>
      </c>
      <c r="W6" s="11">
        <f t="shared" ref="W6:W17" si="9">V6*C6</f>
        <v>100.76</v>
      </c>
      <c r="X6" s="20">
        <f t="shared" ref="X6:X17" si="10">D6+F6+H6+J6+L6+N6+P6+R6+T6+V6</f>
        <v>472</v>
      </c>
      <c r="Y6" s="11">
        <f t="shared" ref="Y6:Y17" si="11">X6*C6</f>
        <v>1080.8800000000001</v>
      </c>
      <c r="Z6" s="3"/>
      <c r="AA6" s="36"/>
    </row>
    <row r="7" spans="1:27">
      <c r="A7" s="11">
        <v>3</v>
      </c>
      <c r="B7" s="12" t="s">
        <v>15</v>
      </c>
      <c r="C7" s="13">
        <v>3.66</v>
      </c>
      <c r="D7" s="14">
        <f>'OUTSTATION-AFRICA LAB '!D7+'UBIPHARM-OUTSTATION'!D7+'LABOREX OUTSTATION'!D7+'CAMED &amp; TEDIS OUTSTATION'!D7</f>
        <v>280</v>
      </c>
      <c r="E7" s="11">
        <f t="shared" si="0"/>
        <v>1024.8</v>
      </c>
      <c r="F7" s="14">
        <f>'OUTSTATION-AFRICA LAB '!F7+'UBIPHARM-OUTSTATION'!F7+'LABOREX OUTSTATION'!F7+'CAMED &amp; TEDIS OUTSTATION'!F7</f>
        <v>66</v>
      </c>
      <c r="G7" s="11">
        <f t="shared" si="1"/>
        <v>241.56</v>
      </c>
      <c r="H7" s="14">
        <f>'OUTSTATION-AFRICA LAB '!H7+'UBIPHARM-OUTSTATION'!H7+'LABOREX OUTSTATION'!H7+'CAMED &amp; TEDIS OUTSTATION'!H7</f>
        <v>119</v>
      </c>
      <c r="I7" s="11">
        <f t="shared" si="2"/>
        <v>435.54</v>
      </c>
      <c r="J7" s="14">
        <f>'OUTSTATION-AFRICA LAB '!J7+'UBIPHARM-OUTSTATION'!J7+'LABOREX OUTSTATION'!J7+'CAMED &amp; TEDIS OUTSTATION'!J7</f>
        <v>181</v>
      </c>
      <c r="K7" s="11">
        <f t="shared" si="3"/>
        <v>662.46</v>
      </c>
      <c r="L7" s="14">
        <f>'OUTSTATION-AFRICA LAB '!L7+'UBIPHARM-OUTSTATION'!L7+'LABOREX OUTSTATION'!L7+'CAMED &amp; TEDIS OUTSTATION'!L7</f>
        <v>50</v>
      </c>
      <c r="M7" s="11">
        <f t="shared" si="4"/>
        <v>183</v>
      </c>
      <c r="N7" s="14">
        <f>'OUTSTATION-AFRICA LAB '!N7+'UBIPHARM-OUTSTATION'!N7+'LABOREX OUTSTATION'!N7+'CAMED &amp; TEDIS OUTSTATION'!N7</f>
        <v>76</v>
      </c>
      <c r="O7" s="11">
        <f t="shared" si="5"/>
        <v>278.16000000000003</v>
      </c>
      <c r="P7" s="14">
        <f>'OUTSTATION-AFRICA LAB '!P7+'UBIPHARM-OUTSTATION'!P7+'LABOREX OUTSTATION'!P7+'CAMED &amp; TEDIS OUTSTATION'!P7</f>
        <v>254</v>
      </c>
      <c r="Q7" s="11">
        <f t="shared" si="6"/>
        <v>929.64</v>
      </c>
      <c r="R7" s="14">
        <f>'OUTSTATION-AFRICA LAB '!R7+'UBIPHARM-OUTSTATION'!R7+'LABOREX OUTSTATION'!R7+'CAMED &amp; TEDIS OUTSTATION'!R7</f>
        <v>348</v>
      </c>
      <c r="S7" s="11">
        <f t="shared" si="7"/>
        <v>1273.68</v>
      </c>
      <c r="T7" s="14">
        <f>'OUTSTATION-AFRICA LAB '!T7+'UBIPHARM-OUTSTATION'!T7+'LABOREX OUTSTATION'!T7+'CAMED &amp; TEDIS OUTSTATION'!T7</f>
        <v>76</v>
      </c>
      <c r="U7" s="11">
        <f t="shared" si="8"/>
        <v>278.16000000000003</v>
      </c>
      <c r="V7" s="14">
        <f>'OUTSTATION-AFRICA LAB '!V7+'UBIPHARM-OUTSTATION'!V7+'LABOREX OUTSTATION'!V7+'CAMED &amp; TEDIS OUTSTATION'!V7</f>
        <v>103</v>
      </c>
      <c r="W7" s="11">
        <f t="shared" si="9"/>
        <v>376.98</v>
      </c>
      <c r="X7" s="20">
        <f t="shared" si="10"/>
        <v>1553</v>
      </c>
      <c r="Y7" s="11">
        <f t="shared" si="11"/>
        <v>5683.9800000000005</v>
      </c>
      <c r="Z7" s="3"/>
      <c r="AA7" s="36"/>
    </row>
    <row r="8" spans="1:27">
      <c r="A8" s="11">
        <v>4</v>
      </c>
      <c r="B8" s="12" t="s">
        <v>16</v>
      </c>
      <c r="C8" s="13">
        <v>2.81</v>
      </c>
      <c r="D8" s="14">
        <f>'OUTSTATION-AFRICA LAB '!D8+'UBIPHARM-OUTSTATION'!D8+'LABOREX OUTSTATION'!D8+'CAMED &amp; TEDIS OUTSTATION'!D8</f>
        <v>35</v>
      </c>
      <c r="E8" s="11">
        <f t="shared" si="0"/>
        <v>98.350000000000009</v>
      </c>
      <c r="F8" s="14">
        <f>'OUTSTATION-AFRICA LAB '!F8+'UBIPHARM-OUTSTATION'!F8+'LABOREX OUTSTATION'!F8+'CAMED &amp; TEDIS OUTSTATION'!F8</f>
        <v>11</v>
      </c>
      <c r="G8" s="11">
        <f t="shared" si="1"/>
        <v>30.91</v>
      </c>
      <c r="H8" s="14">
        <f>'OUTSTATION-AFRICA LAB '!H8+'UBIPHARM-OUTSTATION'!H8+'LABOREX OUTSTATION'!H8+'CAMED &amp; TEDIS OUTSTATION'!H8</f>
        <v>15</v>
      </c>
      <c r="I8" s="11">
        <f t="shared" si="2"/>
        <v>42.15</v>
      </c>
      <c r="J8" s="14">
        <f>'OUTSTATION-AFRICA LAB '!J8+'UBIPHARM-OUTSTATION'!J8+'LABOREX OUTSTATION'!J8+'CAMED &amp; TEDIS OUTSTATION'!J8</f>
        <v>0</v>
      </c>
      <c r="K8" s="11">
        <f t="shared" si="3"/>
        <v>0</v>
      </c>
      <c r="L8" s="14">
        <f>'OUTSTATION-AFRICA LAB '!L8+'UBIPHARM-OUTSTATION'!L8+'LABOREX OUTSTATION'!L8+'CAMED &amp; TEDIS OUTSTATION'!L8</f>
        <v>11</v>
      </c>
      <c r="M8" s="11">
        <f t="shared" si="4"/>
        <v>30.91</v>
      </c>
      <c r="N8" s="14">
        <f>'OUTSTATION-AFRICA LAB '!N8+'UBIPHARM-OUTSTATION'!N8+'LABOREX OUTSTATION'!N8+'CAMED &amp; TEDIS OUTSTATION'!N8</f>
        <v>11</v>
      </c>
      <c r="O8" s="11">
        <f t="shared" si="5"/>
        <v>30.91</v>
      </c>
      <c r="P8" s="14">
        <f>'OUTSTATION-AFRICA LAB '!P8+'UBIPHARM-OUTSTATION'!P8+'LABOREX OUTSTATION'!P8+'CAMED &amp; TEDIS OUTSTATION'!P8</f>
        <v>21</v>
      </c>
      <c r="Q8" s="11">
        <f t="shared" si="6"/>
        <v>59.01</v>
      </c>
      <c r="R8" s="14">
        <f>'OUTSTATION-AFRICA LAB '!R8+'UBIPHARM-OUTSTATION'!R8+'LABOREX OUTSTATION'!R8+'CAMED &amp; TEDIS OUTSTATION'!R8</f>
        <v>7</v>
      </c>
      <c r="S8" s="11">
        <f t="shared" si="7"/>
        <v>19.670000000000002</v>
      </c>
      <c r="T8" s="14">
        <f>'OUTSTATION-AFRICA LAB '!T8+'UBIPHARM-OUTSTATION'!T8+'LABOREX OUTSTATION'!T8+'CAMED &amp; TEDIS OUTSTATION'!T8</f>
        <v>29</v>
      </c>
      <c r="U8" s="11">
        <f t="shared" si="8"/>
        <v>81.489999999999995</v>
      </c>
      <c r="V8" s="14">
        <f>'OUTSTATION-AFRICA LAB '!V8+'UBIPHARM-OUTSTATION'!V8+'LABOREX OUTSTATION'!V8+'CAMED &amp; TEDIS OUTSTATION'!V8</f>
        <v>14</v>
      </c>
      <c r="W8" s="11">
        <f t="shared" si="9"/>
        <v>39.340000000000003</v>
      </c>
      <c r="X8" s="20">
        <f t="shared" si="10"/>
        <v>154</v>
      </c>
      <c r="Y8" s="11">
        <f t="shared" si="11"/>
        <v>432.74</v>
      </c>
      <c r="Z8" s="3"/>
      <c r="AA8" s="36"/>
    </row>
    <row r="9" spans="1:27">
      <c r="A9" s="11">
        <v>5</v>
      </c>
      <c r="B9" s="12" t="s">
        <v>17</v>
      </c>
      <c r="C9" s="13">
        <v>3.46</v>
      </c>
      <c r="D9" s="14">
        <f>'OUTSTATION-AFRICA LAB '!D9+'UBIPHARM-OUTSTATION'!D9+'LABOREX OUTSTATION'!D9+'CAMED &amp; TEDIS OUTSTATION'!D9</f>
        <v>140</v>
      </c>
      <c r="E9" s="11">
        <f t="shared" si="0"/>
        <v>484.4</v>
      </c>
      <c r="F9" s="14">
        <f>'OUTSTATION-AFRICA LAB '!F9+'UBIPHARM-OUTSTATION'!F9+'LABOREX OUTSTATION'!F9+'CAMED &amp; TEDIS OUTSTATION'!F9</f>
        <v>38</v>
      </c>
      <c r="G9" s="11">
        <f t="shared" si="1"/>
        <v>131.47999999999999</v>
      </c>
      <c r="H9" s="14">
        <f>'OUTSTATION-AFRICA LAB '!H9+'UBIPHARM-OUTSTATION'!H9+'LABOREX OUTSTATION'!H9+'CAMED &amp; TEDIS OUTSTATION'!H9</f>
        <v>41</v>
      </c>
      <c r="I9" s="11">
        <f t="shared" si="2"/>
        <v>141.85999999999999</v>
      </c>
      <c r="J9" s="14">
        <f>'OUTSTATION-AFRICA LAB '!J9+'UBIPHARM-OUTSTATION'!J9+'LABOREX OUTSTATION'!J9+'CAMED &amp; TEDIS OUTSTATION'!J9</f>
        <v>116</v>
      </c>
      <c r="K9" s="11">
        <f t="shared" si="3"/>
        <v>401.36</v>
      </c>
      <c r="L9" s="14">
        <f>'OUTSTATION-AFRICA LAB '!L9+'UBIPHARM-OUTSTATION'!L9+'LABOREX OUTSTATION'!L9+'CAMED &amp; TEDIS OUTSTATION'!L9</f>
        <v>39</v>
      </c>
      <c r="M9" s="11">
        <f t="shared" si="4"/>
        <v>134.94</v>
      </c>
      <c r="N9" s="14">
        <f>'OUTSTATION-AFRICA LAB '!N9+'UBIPHARM-OUTSTATION'!N9+'LABOREX OUTSTATION'!N9+'CAMED &amp; TEDIS OUTSTATION'!N9</f>
        <v>25</v>
      </c>
      <c r="O9" s="11">
        <f t="shared" si="5"/>
        <v>86.5</v>
      </c>
      <c r="P9" s="14">
        <f>'OUTSTATION-AFRICA LAB '!P9+'UBIPHARM-OUTSTATION'!P9+'LABOREX OUTSTATION'!P9+'CAMED &amp; TEDIS OUTSTATION'!P9</f>
        <v>46</v>
      </c>
      <c r="Q9" s="11">
        <f t="shared" si="6"/>
        <v>159.16</v>
      </c>
      <c r="R9" s="14">
        <f>'OUTSTATION-AFRICA LAB '!R9+'UBIPHARM-OUTSTATION'!R9+'LABOREX OUTSTATION'!R9+'CAMED &amp; TEDIS OUTSTATION'!R9</f>
        <v>75</v>
      </c>
      <c r="S9" s="11">
        <f t="shared" si="7"/>
        <v>259.5</v>
      </c>
      <c r="T9" s="14">
        <f>'OUTSTATION-AFRICA LAB '!T9+'UBIPHARM-OUTSTATION'!T9+'LABOREX OUTSTATION'!T9+'CAMED &amp; TEDIS OUTSTATION'!T9</f>
        <v>23</v>
      </c>
      <c r="U9" s="11">
        <f t="shared" si="8"/>
        <v>79.58</v>
      </c>
      <c r="V9" s="14">
        <f>'OUTSTATION-AFRICA LAB '!V9+'UBIPHARM-OUTSTATION'!V9+'LABOREX OUTSTATION'!V9+'CAMED &amp; TEDIS OUTSTATION'!V9</f>
        <v>70</v>
      </c>
      <c r="W9" s="11">
        <f t="shared" si="9"/>
        <v>242.2</v>
      </c>
      <c r="X9" s="20">
        <f t="shared" si="10"/>
        <v>613</v>
      </c>
      <c r="Y9" s="11">
        <f t="shared" si="11"/>
        <v>2120.98</v>
      </c>
      <c r="Z9" s="3"/>
      <c r="AA9" s="36"/>
    </row>
    <row r="10" spans="1:27">
      <c r="A10" s="11">
        <v>6</v>
      </c>
      <c r="B10" s="12" t="s">
        <v>18</v>
      </c>
      <c r="C10" s="13">
        <v>1.06</v>
      </c>
      <c r="D10" s="14">
        <f>'OUTSTATION-AFRICA LAB '!D10+'UBIPHARM-OUTSTATION'!D10+'LABOREX OUTSTATION'!D10+'CAMED &amp; TEDIS OUTSTATION'!D10</f>
        <v>0</v>
      </c>
      <c r="E10" s="11">
        <f t="shared" si="0"/>
        <v>0</v>
      </c>
      <c r="F10" s="14">
        <f>'OUTSTATION-AFRICA LAB '!F10+'UBIPHARM-OUTSTATION'!F10+'LABOREX OUTSTATION'!F10+'CAMED &amp; TEDIS OUTSTATION'!F10</f>
        <v>0</v>
      </c>
      <c r="G10" s="11">
        <f t="shared" si="1"/>
        <v>0</v>
      </c>
      <c r="H10" s="14">
        <f>'OUTSTATION-AFRICA LAB '!H10+'UBIPHARM-OUTSTATION'!H10+'LABOREX OUTSTATION'!H10+'CAMED &amp; TEDIS OUTSTATION'!H10</f>
        <v>28</v>
      </c>
      <c r="I10" s="11">
        <f t="shared" si="2"/>
        <v>29.68</v>
      </c>
      <c r="J10" s="14">
        <f>'OUTSTATION-AFRICA LAB '!J10+'UBIPHARM-OUTSTATION'!J10+'LABOREX OUTSTATION'!J10+'CAMED &amp; TEDIS OUTSTATION'!J10</f>
        <v>1</v>
      </c>
      <c r="K10" s="11">
        <f t="shared" si="3"/>
        <v>1.06</v>
      </c>
      <c r="L10" s="14">
        <f>'OUTSTATION-AFRICA LAB '!L10+'UBIPHARM-OUTSTATION'!L10+'LABOREX OUTSTATION'!L10+'CAMED &amp; TEDIS OUTSTATION'!L10</f>
        <v>0</v>
      </c>
      <c r="M10" s="11">
        <f t="shared" si="4"/>
        <v>0</v>
      </c>
      <c r="N10" s="14">
        <f>'OUTSTATION-AFRICA LAB '!N10+'UBIPHARM-OUTSTATION'!N10+'LABOREX OUTSTATION'!N10+'CAMED &amp; TEDIS OUTSTATION'!N10</f>
        <v>4</v>
      </c>
      <c r="O10" s="11">
        <f t="shared" si="5"/>
        <v>4.24</v>
      </c>
      <c r="P10" s="14">
        <f>'OUTSTATION-AFRICA LAB '!P10+'UBIPHARM-OUTSTATION'!P10+'LABOREX OUTSTATION'!P10+'CAMED &amp; TEDIS OUTSTATION'!P10</f>
        <v>0</v>
      </c>
      <c r="Q10" s="11">
        <f t="shared" si="6"/>
        <v>0</v>
      </c>
      <c r="R10" s="14">
        <f>'OUTSTATION-AFRICA LAB '!R10+'UBIPHARM-OUTSTATION'!R10+'LABOREX OUTSTATION'!R10+'CAMED &amp; TEDIS OUTSTATION'!R10</f>
        <v>0</v>
      </c>
      <c r="S10" s="11">
        <f t="shared" si="7"/>
        <v>0</v>
      </c>
      <c r="T10" s="14">
        <f>'OUTSTATION-AFRICA LAB '!T10+'UBIPHARM-OUTSTATION'!T10+'LABOREX OUTSTATION'!T10+'CAMED &amp; TEDIS OUTSTATION'!T10</f>
        <v>0</v>
      </c>
      <c r="U10" s="11">
        <f t="shared" si="8"/>
        <v>0</v>
      </c>
      <c r="V10" s="14">
        <f>'OUTSTATION-AFRICA LAB '!V10+'UBIPHARM-OUTSTATION'!V10+'LABOREX OUTSTATION'!V10+'CAMED &amp; TEDIS OUTSTATION'!V10</f>
        <v>119</v>
      </c>
      <c r="W10" s="11">
        <f t="shared" si="9"/>
        <v>126.14</v>
      </c>
      <c r="X10" s="20">
        <f t="shared" si="10"/>
        <v>152</v>
      </c>
      <c r="Y10" s="11">
        <f t="shared" si="11"/>
        <v>161.12</v>
      </c>
      <c r="Z10" s="3"/>
      <c r="AA10" s="36"/>
    </row>
    <row r="11" spans="1:27">
      <c r="A11" s="11">
        <v>7</v>
      </c>
      <c r="B11" s="12" t="s">
        <v>19</v>
      </c>
      <c r="C11" s="13">
        <v>3.63</v>
      </c>
      <c r="D11" s="14">
        <f>'OUTSTATION-AFRICA LAB '!D11+'UBIPHARM-OUTSTATION'!D11+'LABOREX OUTSTATION'!D11+'CAMED &amp; TEDIS OUTSTATION'!D11</f>
        <v>0</v>
      </c>
      <c r="E11" s="11">
        <f t="shared" si="0"/>
        <v>0</v>
      </c>
      <c r="F11" s="14">
        <f>'OUTSTATION-AFRICA LAB '!F11+'UBIPHARM-OUTSTATION'!F11+'LABOREX OUTSTATION'!F11+'CAMED &amp; TEDIS OUTSTATION'!F11</f>
        <v>0</v>
      </c>
      <c r="G11" s="11">
        <f t="shared" si="1"/>
        <v>0</v>
      </c>
      <c r="H11" s="14">
        <f>'OUTSTATION-AFRICA LAB '!H11+'UBIPHARM-OUTSTATION'!H11+'LABOREX OUTSTATION'!H11+'CAMED &amp; TEDIS OUTSTATION'!H11</f>
        <v>2</v>
      </c>
      <c r="I11" s="11">
        <f t="shared" si="2"/>
        <v>7.26</v>
      </c>
      <c r="J11" s="14">
        <f>'OUTSTATION-AFRICA LAB '!J11+'UBIPHARM-OUTSTATION'!J11+'LABOREX OUTSTATION'!J11+'CAMED &amp; TEDIS OUTSTATION'!J11</f>
        <v>0</v>
      </c>
      <c r="K11" s="11">
        <f t="shared" si="3"/>
        <v>0</v>
      </c>
      <c r="L11" s="14">
        <f>'OUTSTATION-AFRICA LAB '!L11+'UBIPHARM-OUTSTATION'!L11+'LABOREX OUTSTATION'!L11+'CAMED &amp; TEDIS OUTSTATION'!L11</f>
        <v>0</v>
      </c>
      <c r="M11" s="11">
        <f t="shared" si="4"/>
        <v>0</v>
      </c>
      <c r="N11" s="14">
        <f>'OUTSTATION-AFRICA LAB '!N11+'UBIPHARM-OUTSTATION'!N11+'LABOREX OUTSTATION'!N11+'CAMED &amp; TEDIS OUTSTATION'!N11</f>
        <v>0</v>
      </c>
      <c r="O11" s="11">
        <f t="shared" si="5"/>
        <v>0</v>
      </c>
      <c r="P11" s="14">
        <f>'OUTSTATION-AFRICA LAB '!P11+'UBIPHARM-OUTSTATION'!P11+'LABOREX OUTSTATION'!P11+'CAMED &amp; TEDIS OUTSTATION'!P11</f>
        <v>0</v>
      </c>
      <c r="Q11" s="11">
        <f t="shared" si="6"/>
        <v>0</v>
      </c>
      <c r="R11" s="14">
        <f>'OUTSTATION-AFRICA LAB '!R11+'UBIPHARM-OUTSTATION'!R11+'LABOREX OUTSTATION'!R11+'CAMED &amp; TEDIS OUTSTATION'!R11</f>
        <v>0</v>
      </c>
      <c r="S11" s="11">
        <f t="shared" si="7"/>
        <v>0</v>
      </c>
      <c r="T11" s="14">
        <f>'OUTSTATION-AFRICA LAB '!T11+'UBIPHARM-OUTSTATION'!T11+'LABOREX OUTSTATION'!T11+'CAMED &amp; TEDIS OUTSTATION'!T11</f>
        <v>0</v>
      </c>
      <c r="U11" s="11">
        <f t="shared" si="8"/>
        <v>0</v>
      </c>
      <c r="V11" s="14">
        <f>'OUTSTATION-AFRICA LAB '!V11+'UBIPHARM-OUTSTATION'!V11+'LABOREX OUTSTATION'!V11+'CAMED &amp; TEDIS OUTSTATION'!V11</f>
        <v>3</v>
      </c>
      <c r="W11" s="11">
        <f t="shared" si="9"/>
        <v>10.89</v>
      </c>
      <c r="X11" s="20">
        <f t="shared" si="10"/>
        <v>5</v>
      </c>
      <c r="Y11" s="11">
        <f t="shared" si="11"/>
        <v>18.149999999999999</v>
      </c>
      <c r="Z11" s="3"/>
      <c r="AA11" s="36"/>
    </row>
    <row r="12" spans="1:27">
      <c r="A12" s="11">
        <v>8</v>
      </c>
      <c r="B12" s="12" t="s">
        <v>20</v>
      </c>
      <c r="C12" s="13">
        <v>0.85</v>
      </c>
      <c r="D12" s="14">
        <f>'OUTSTATION-AFRICA LAB '!D12+'UBIPHARM-OUTSTATION'!D12+'LABOREX OUTSTATION'!D12+'CAMED &amp; TEDIS OUTSTATION'!D12</f>
        <v>10</v>
      </c>
      <c r="E12" s="11">
        <f t="shared" si="0"/>
        <v>8.5</v>
      </c>
      <c r="F12" s="14">
        <f>'OUTSTATION-AFRICA LAB '!F12+'UBIPHARM-OUTSTATION'!F12+'LABOREX OUTSTATION'!F12+'CAMED &amp; TEDIS OUTSTATION'!F12</f>
        <v>8</v>
      </c>
      <c r="G12" s="11">
        <f t="shared" si="1"/>
        <v>6.8</v>
      </c>
      <c r="H12" s="14">
        <f>'OUTSTATION-AFRICA LAB '!H12+'UBIPHARM-OUTSTATION'!H12+'LABOREX OUTSTATION'!H12+'CAMED &amp; TEDIS OUTSTATION'!H12</f>
        <v>44</v>
      </c>
      <c r="I12" s="11">
        <f t="shared" si="2"/>
        <v>37.4</v>
      </c>
      <c r="J12" s="14">
        <f>'OUTSTATION-AFRICA LAB '!J12+'UBIPHARM-OUTSTATION'!J12+'LABOREX OUTSTATION'!J12+'CAMED &amp; TEDIS OUTSTATION'!J12</f>
        <v>0</v>
      </c>
      <c r="K12" s="11">
        <f t="shared" si="3"/>
        <v>0</v>
      </c>
      <c r="L12" s="14">
        <f>'OUTSTATION-AFRICA LAB '!L12+'UBIPHARM-OUTSTATION'!L12+'LABOREX OUTSTATION'!L12+'CAMED &amp; TEDIS OUTSTATION'!L12</f>
        <v>7</v>
      </c>
      <c r="M12" s="11">
        <f t="shared" si="4"/>
        <v>5.95</v>
      </c>
      <c r="N12" s="14">
        <f>'OUTSTATION-AFRICA LAB '!N12+'UBIPHARM-OUTSTATION'!N12+'LABOREX OUTSTATION'!N12+'CAMED &amp; TEDIS OUTSTATION'!N12</f>
        <v>0</v>
      </c>
      <c r="O12" s="11">
        <f t="shared" si="5"/>
        <v>0</v>
      </c>
      <c r="P12" s="14">
        <f>'OUTSTATION-AFRICA LAB '!P12+'UBIPHARM-OUTSTATION'!P12+'LABOREX OUTSTATION'!P12+'CAMED &amp; TEDIS OUTSTATION'!P12</f>
        <v>5</v>
      </c>
      <c r="Q12" s="11">
        <f t="shared" si="6"/>
        <v>4.25</v>
      </c>
      <c r="R12" s="14">
        <f>'OUTSTATION-AFRICA LAB '!R12+'UBIPHARM-OUTSTATION'!R12+'LABOREX OUTSTATION'!R12+'CAMED &amp; TEDIS OUTSTATION'!R12</f>
        <v>2</v>
      </c>
      <c r="S12" s="11">
        <f t="shared" si="7"/>
        <v>1.7</v>
      </c>
      <c r="T12" s="14">
        <f>'OUTSTATION-AFRICA LAB '!T12+'UBIPHARM-OUTSTATION'!T12+'LABOREX OUTSTATION'!T12+'CAMED &amp; TEDIS OUTSTATION'!T12</f>
        <v>0</v>
      </c>
      <c r="U12" s="11">
        <f t="shared" si="8"/>
        <v>0</v>
      </c>
      <c r="V12" s="14">
        <f>'OUTSTATION-AFRICA LAB '!V12+'UBIPHARM-OUTSTATION'!V12+'LABOREX OUTSTATION'!V12+'CAMED &amp; TEDIS OUTSTATION'!V12</f>
        <v>11</v>
      </c>
      <c r="W12" s="11">
        <f t="shared" si="9"/>
        <v>9.35</v>
      </c>
      <c r="X12" s="20">
        <f t="shared" si="10"/>
        <v>87</v>
      </c>
      <c r="Y12" s="11">
        <f t="shared" si="11"/>
        <v>73.95</v>
      </c>
      <c r="Z12" s="3"/>
      <c r="AA12" s="36"/>
    </row>
    <row r="13" spans="1:27" ht="15" customHeight="1">
      <c r="A13" s="11">
        <v>9</v>
      </c>
      <c r="B13" s="12" t="s">
        <v>21</v>
      </c>
      <c r="C13" s="13">
        <v>1.98</v>
      </c>
      <c r="D13" s="14">
        <f>'OUTSTATION-AFRICA LAB '!D13+'UBIPHARM-OUTSTATION'!D13+'LABOREX OUTSTATION'!D13+'CAMED &amp; TEDIS OUTSTATION'!D13</f>
        <v>160</v>
      </c>
      <c r="E13" s="11">
        <f t="shared" si="0"/>
        <v>316.8</v>
      </c>
      <c r="F13" s="14">
        <f>'OUTSTATION-AFRICA LAB '!F13+'UBIPHARM-OUTSTATION'!F13+'LABOREX OUTSTATION'!F13+'CAMED &amp; TEDIS OUTSTATION'!F13</f>
        <v>122</v>
      </c>
      <c r="G13" s="11">
        <f t="shared" si="1"/>
        <v>241.56</v>
      </c>
      <c r="H13" s="14">
        <f>'OUTSTATION-AFRICA LAB '!H13+'UBIPHARM-OUTSTATION'!H13+'LABOREX OUTSTATION'!H13+'CAMED &amp; TEDIS OUTSTATION'!H13</f>
        <v>213</v>
      </c>
      <c r="I13" s="11">
        <f t="shared" si="2"/>
        <v>421.74</v>
      </c>
      <c r="J13" s="14">
        <f>'OUTSTATION-AFRICA LAB '!J13+'UBIPHARM-OUTSTATION'!J13+'LABOREX OUTSTATION'!J13+'CAMED &amp; TEDIS OUTSTATION'!J13</f>
        <v>823</v>
      </c>
      <c r="K13" s="11">
        <f t="shared" si="3"/>
        <v>1629.54</v>
      </c>
      <c r="L13" s="14">
        <f>'OUTSTATION-AFRICA LAB '!L13+'UBIPHARM-OUTSTATION'!L13+'LABOREX OUTSTATION'!L13+'CAMED &amp; TEDIS OUTSTATION'!L13</f>
        <v>28</v>
      </c>
      <c r="M13" s="11">
        <f t="shared" si="4"/>
        <v>55.44</v>
      </c>
      <c r="N13" s="14">
        <f>'OUTSTATION-AFRICA LAB '!N13+'UBIPHARM-OUTSTATION'!N13+'LABOREX OUTSTATION'!N13+'CAMED &amp; TEDIS OUTSTATION'!N13</f>
        <v>108</v>
      </c>
      <c r="O13" s="11">
        <f t="shared" si="5"/>
        <v>213.84</v>
      </c>
      <c r="P13" s="14">
        <f>'OUTSTATION-AFRICA LAB '!P13+'UBIPHARM-OUTSTATION'!P13+'LABOREX OUTSTATION'!P13+'CAMED &amp; TEDIS OUTSTATION'!P13</f>
        <v>304</v>
      </c>
      <c r="Q13" s="11">
        <f t="shared" si="6"/>
        <v>601.91999999999996</v>
      </c>
      <c r="R13" s="14">
        <f>'OUTSTATION-AFRICA LAB '!R13+'UBIPHARM-OUTSTATION'!R13+'LABOREX OUTSTATION'!R13+'CAMED &amp; TEDIS OUTSTATION'!R13</f>
        <v>532</v>
      </c>
      <c r="S13" s="11">
        <f t="shared" si="7"/>
        <v>1053.3599999999999</v>
      </c>
      <c r="T13" s="14">
        <f>'OUTSTATION-AFRICA LAB '!T13+'UBIPHARM-OUTSTATION'!T13+'LABOREX OUTSTATION'!T13+'CAMED &amp; TEDIS OUTSTATION'!T13</f>
        <v>156</v>
      </c>
      <c r="U13" s="11">
        <f t="shared" si="8"/>
        <v>308.88</v>
      </c>
      <c r="V13" s="14">
        <f>'OUTSTATION-AFRICA LAB '!V13+'UBIPHARM-OUTSTATION'!V13+'LABOREX OUTSTATION'!V13+'CAMED &amp; TEDIS OUTSTATION'!V13</f>
        <v>284</v>
      </c>
      <c r="W13" s="11">
        <f t="shared" si="9"/>
        <v>562.32000000000005</v>
      </c>
      <c r="X13" s="20">
        <f t="shared" si="10"/>
        <v>2730</v>
      </c>
      <c r="Y13" s="11">
        <f t="shared" si="11"/>
        <v>5405.4</v>
      </c>
      <c r="Z13" s="3"/>
      <c r="AA13" s="36"/>
    </row>
    <row r="14" spans="1:27">
      <c r="A14" s="11">
        <v>10</v>
      </c>
      <c r="B14" s="15" t="s">
        <v>22</v>
      </c>
      <c r="C14" s="13">
        <v>1.98</v>
      </c>
      <c r="D14" s="14">
        <f>'OUTSTATION-AFRICA LAB '!D14+'UBIPHARM-OUTSTATION'!D14+'LABOREX OUTSTATION'!D14+'CAMED &amp; TEDIS OUTSTATION'!D14</f>
        <v>40</v>
      </c>
      <c r="E14" s="11">
        <f t="shared" si="0"/>
        <v>79.2</v>
      </c>
      <c r="F14" s="14">
        <f>'OUTSTATION-AFRICA LAB '!F14+'UBIPHARM-OUTSTATION'!F14+'LABOREX OUTSTATION'!F14+'CAMED &amp; TEDIS OUTSTATION'!F14</f>
        <v>107</v>
      </c>
      <c r="G14" s="11">
        <f>C14*F14</f>
        <v>211.85999999999999</v>
      </c>
      <c r="H14" s="14">
        <f>'OUTSTATION-AFRICA LAB '!H14+'UBIPHARM-OUTSTATION'!H14+'LABOREX OUTSTATION'!H14+'CAMED &amp; TEDIS OUTSTATION'!H14</f>
        <v>36</v>
      </c>
      <c r="I14" s="11">
        <f t="shared" si="2"/>
        <v>71.28</v>
      </c>
      <c r="J14" s="14">
        <f>'OUTSTATION-AFRICA LAB '!J14+'UBIPHARM-OUTSTATION'!J14+'LABOREX OUTSTATION'!J14+'CAMED &amp; TEDIS OUTSTATION'!J14</f>
        <v>62</v>
      </c>
      <c r="K14" s="11">
        <f t="shared" si="3"/>
        <v>122.76</v>
      </c>
      <c r="L14" s="14">
        <f>'OUTSTATION-AFRICA LAB '!L14+'UBIPHARM-OUTSTATION'!L14+'LABOREX OUTSTATION'!L14+'CAMED &amp; TEDIS OUTSTATION'!L14</f>
        <v>35</v>
      </c>
      <c r="M14" s="11">
        <f t="shared" si="4"/>
        <v>69.3</v>
      </c>
      <c r="N14" s="14">
        <f>'OUTSTATION-AFRICA LAB '!N14+'UBIPHARM-OUTSTATION'!N14+'LABOREX OUTSTATION'!N14+'CAMED &amp; TEDIS OUTSTATION'!N14</f>
        <v>21</v>
      </c>
      <c r="O14" s="11">
        <f t="shared" si="5"/>
        <v>41.58</v>
      </c>
      <c r="P14" s="14">
        <f>'OUTSTATION-AFRICA LAB '!P14+'UBIPHARM-OUTSTATION'!P14+'LABOREX OUTSTATION'!P14+'CAMED &amp; TEDIS OUTSTATION'!P14</f>
        <v>27</v>
      </c>
      <c r="Q14" s="11">
        <f t="shared" si="6"/>
        <v>53.46</v>
      </c>
      <c r="R14" s="14">
        <f>'OUTSTATION-AFRICA LAB '!R14+'UBIPHARM-OUTSTATION'!R14+'LABOREX OUTSTATION'!R14+'CAMED &amp; TEDIS OUTSTATION'!R14</f>
        <v>61</v>
      </c>
      <c r="S14" s="11">
        <f t="shared" si="7"/>
        <v>120.78</v>
      </c>
      <c r="T14" s="14">
        <f>'OUTSTATION-AFRICA LAB '!T14+'UBIPHARM-OUTSTATION'!T14+'LABOREX OUTSTATION'!T14+'CAMED &amp; TEDIS OUTSTATION'!T14</f>
        <v>25</v>
      </c>
      <c r="U14" s="11">
        <f t="shared" si="8"/>
        <v>49.5</v>
      </c>
      <c r="V14" s="14">
        <f>'OUTSTATION-AFRICA LAB '!V14+'UBIPHARM-OUTSTATION'!V14+'LABOREX OUTSTATION'!V14+'CAMED &amp; TEDIS OUTSTATION'!V14</f>
        <v>50</v>
      </c>
      <c r="W14" s="11">
        <f t="shared" si="9"/>
        <v>99</v>
      </c>
      <c r="X14" s="20">
        <f t="shared" si="10"/>
        <v>464</v>
      </c>
      <c r="Y14" s="11">
        <f t="shared" si="11"/>
        <v>918.72</v>
      </c>
      <c r="Z14" s="3"/>
      <c r="AA14" s="36"/>
    </row>
    <row r="15" spans="1:27" ht="13.5" customHeight="1">
      <c r="A15" s="11">
        <v>11</v>
      </c>
      <c r="B15" s="12" t="s">
        <v>23</v>
      </c>
      <c r="C15" s="13">
        <v>4.6900000000000004</v>
      </c>
      <c r="D15" s="14">
        <f>'OUTSTATION-AFRICA LAB '!D15+'UBIPHARM-OUTSTATION'!D15+'LABOREX OUTSTATION'!D15+'CAMED &amp; TEDIS OUTSTATION'!D15</f>
        <v>0</v>
      </c>
      <c r="E15" s="11">
        <f t="shared" si="0"/>
        <v>0</v>
      </c>
      <c r="F15" s="14">
        <f>'OUTSTATION-AFRICA LAB '!F15+'UBIPHARM-OUTSTATION'!F15+'LABOREX OUTSTATION'!F15+'CAMED &amp; TEDIS OUTSTATION'!F15</f>
        <v>2</v>
      </c>
      <c r="G15" s="11">
        <f t="shared" si="1"/>
        <v>9.3800000000000008</v>
      </c>
      <c r="H15" s="14">
        <f>'OUTSTATION-AFRICA LAB '!H15+'UBIPHARM-OUTSTATION'!H15+'LABOREX OUTSTATION'!H15+'CAMED &amp; TEDIS OUTSTATION'!H15</f>
        <v>65</v>
      </c>
      <c r="I15" s="11">
        <f t="shared" si="2"/>
        <v>304.85000000000002</v>
      </c>
      <c r="J15" s="14">
        <f>'OUTSTATION-AFRICA LAB '!J15+'UBIPHARM-OUTSTATION'!J15+'LABOREX OUTSTATION'!J15+'CAMED &amp; TEDIS OUTSTATION'!J15</f>
        <v>2</v>
      </c>
      <c r="K15" s="11">
        <f t="shared" si="3"/>
        <v>9.3800000000000008</v>
      </c>
      <c r="L15" s="14">
        <f>'OUTSTATION-AFRICA LAB '!L15+'UBIPHARM-OUTSTATION'!L15+'LABOREX OUTSTATION'!L15+'CAMED &amp; TEDIS OUTSTATION'!L15</f>
        <v>24</v>
      </c>
      <c r="M15" s="11">
        <f t="shared" si="4"/>
        <v>112.56</v>
      </c>
      <c r="N15" s="14">
        <f>'OUTSTATION-AFRICA LAB '!N15+'UBIPHARM-OUTSTATION'!N15+'LABOREX OUTSTATION'!N15+'CAMED &amp; TEDIS OUTSTATION'!N15</f>
        <v>21</v>
      </c>
      <c r="O15" s="11">
        <f t="shared" si="5"/>
        <v>98.490000000000009</v>
      </c>
      <c r="P15" s="14">
        <f>'OUTSTATION-AFRICA LAB '!P15+'UBIPHARM-OUTSTATION'!P15+'LABOREX OUTSTATION'!P15+'CAMED &amp; TEDIS OUTSTATION'!P15</f>
        <v>0</v>
      </c>
      <c r="Q15" s="11">
        <f t="shared" si="6"/>
        <v>0</v>
      </c>
      <c r="R15" s="14">
        <f>'OUTSTATION-AFRICA LAB '!R15+'UBIPHARM-OUTSTATION'!R15+'LABOREX OUTSTATION'!R15+'CAMED &amp; TEDIS OUTSTATION'!R15</f>
        <v>0</v>
      </c>
      <c r="S15" s="11">
        <f t="shared" si="7"/>
        <v>0</v>
      </c>
      <c r="T15" s="14">
        <f>'OUTSTATION-AFRICA LAB '!T15+'UBIPHARM-OUTSTATION'!T15+'LABOREX OUTSTATION'!T15+'CAMED &amp; TEDIS OUTSTATION'!T15</f>
        <v>0</v>
      </c>
      <c r="U15" s="11">
        <f t="shared" si="8"/>
        <v>0</v>
      </c>
      <c r="V15" s="14">
        <f>'OUTSTATION-AFRICA LAB '!V15+'UBIPHARM-OUTSTATION'!V15+'LABOREX OUTSTATION'!V15+'CAMED &amp; TEDIS OUTSTATION'!V15</f>
        <v>26</v>
      </c>
      <c r="W15" s="11">
        <f t="shared" si="9"/>
        <v>121.94000000000001</v>
      </c>
      <c r="X15" s="20">
        <f t="shared" si="10"/>
        <v>140</v>
      </c>
      <c r="Y15" s="11">
        <f t="shared" si="11"/>
        <v>656.6</v>
      </c>
      <c r="Z15" s="3"/>
      <c r="AA15" s="36"/>
    </row>
    <row r="16" spans="1:27">
      <c r="A16" s="11">
        <v>12</v>
      </c>
      <c r="B16" s="12" t="s">
        <v>24</v>
      </c>
      <c r="C16" s="13">
        <v>2.9</v>
      </c>
      <c r="D16" s="14">
        <f>'OUTSTATION-AFRICA LAB '!D16+'UBIPHARM-OUTSTATION'!D16+'LABOREX OUTSTATION'!D16+'CAMED &amp; TEDIS OUTSTATION'!D16</f>
        <v>0</v>
      </c>
      <c r="E16" s="11">
        <f t="shared" si="0"/>
        <v>0</v>
      </c>
      <c r="F16" s="14">
        <f>'OUTSTATION-AFRICA LAB '!F16+'UBIPHARM-OUTSTATION'!F16+'LABOREX OUTSTATION'!F16+'CAMED &amp; TEDIS OUTSTATION'!F16</f>
        <v>0</v>
      </c>
      <c r="G16" s="11">
        <f t="shared" si="1"/>
        <v>0</v>
      </c>
      <c r="H16" s="14">
        <f>'OUTSTATION-AFRICA LAB '!H16+'UBIPHARM-OUTSTATION'!H16+'LABOREX OUTSTATION'!H16+'CAMED &amp; TEDIS OUTSTATION'!H16</f>
        <v>23</v>
      </c>
      <c r="I16" s="11">
        <f t="shared" si="2"/>
        <v>66.7</v>
      </c>
      <c r="J16" s="14">
        <f>'OUTSTATION-AFRICA LAB '!J16+'UBIPHARM-OUTSTATION'!J16+'LABOREX OUTSTATION'!J16+'CAMED &amp; TEDIS OUTSTATION'!J16</f>
        <v>0</v>
      </c>
      <c r="K16" s="11">
        <f t="shared" si="3"/>
        <v>0</v>
      </c>
      <c r="L16" s="14">
        <f>'OUTSTATION-AFRICA LAB '!L16+'UBIPHARM-OUTSTATION'!L16+'LABOREX OUTSTATION'!L16+'CAMED &amp; TEDIS OUTSTATION'!L16</f>
        <v>2</v>
      </c>
      <c r="M16" s="11">
        <f t="shared" si="4"/>
        <v>5.8</v>
      </c>
      <c r="N16" s="14">
        <f>'OUTSTATION-AFRICA LAB '!N16+'UBIPHARM-OUTSTATION'!N16+'LABOREX OUTSTATION'!N16+'CAMED &amp; TEDIS OUTSTATION'!N16</f>
        <v>2</v>
      </c>
      <c r="O16" s="11">
        <f t="shared" si="5"/>
        <v>5.8</v>
      </c>
      <c r="P16" s="14">
        <f>'OUTSTATION-AFRICA LAB '!P16+'UBIPHARM-OUTSTATION'!P16+'LABOREX OUTSTATION'!P16+'CAMED &amp; TEDIS OUTSTATION'!P16</f>
        <v>0</v>
      </c>
      <c r="Q16" s="11">
        <f t="shared" si="6"/>
        <v>0</v>
      </c>
      <c r="R16" s="14">
        <f>'OUTSTATION-AFRICA LAB '!R16+'UBIPHARM-OUTSTATION'!R16+'LABOREX OUTSTATION'!R16+'CAMED &amp; TEDIS OUTSTATION'!R16</f>
        <v>0</v>
      </c>
      <c r="S16" s="11">
        <f t="shared" si="7"/>
        <v>0</v>
      </c>
      <c r="T16" s="14">
        <f>'OUTSTATION-AFRICA LAB '!T16+'UBIPHARM-OUTSTATION'!T16+'LABOREX OUTSTATION'!T16+'CAMED &amp; TEDIS OUTSTATION'!T16</f>
        <v>0</v>
      </c>
      <c r="U16" s="11">
        <f t="shared" si="8"/>
        <v>0</v>
      </c>
      <c r="V16" s="14">
        <f>'OUTSTATION-AFRICA LAB '!V16+'UBIPHARM-OUTSTATION'!V16+'LABOREX OUTSTATION'!V16+'CAMED &amp; TEDIS OUTSTATION'!V16</f>
        <v>1</v>
      </c>
      <c r="W16" s="11">
        <f t="shared" si="9"/>
        <v>2.9</v>
      </c>
      <c r="X16" s="20">
        <f t="shared" si="10"/>
        <v>28</v>
      </c>
      <c r="Y16" s="11">
        <f t="shared" si="11"/>
        <v>81.2</v>
      </c>
      <c r="Z16" s="3"/>
      <c r="AA16" s="36"/>
    </row>
    <row r="17" spans="1:27">
      <c r="A17" s="11">
        <v>13</v>
      </c>
      <c r="B17" s="12" t="s">
        <v>25</v>
      </c>
      <c r="C17" s="13">
        <v>1.5</v>
      </c>
      <c r="D17" s="14">
        <f>'OUTSTATION-AFRICA LAB '!D19+'UBIPHARM-OUTSTATION'!D19+'LABOREX OUTSTATION'!D19+'CAMED &amp; TEDIS OUTSTATION'!D19</f>
        <v>0</v>
      </c>
      <c r="E17" s="11">
        <f t="shared" si="0"/>
        <v>0</v>
      </c>
      <c r="F17" s="14">
        <f>'OUTSTATION-AFRICA LAB '!F19+'UBIPHARM-OUTSTATION'!F19+'LABOREX OUTSTATION'!F19+'CAMED &amp; TEDIS OUTSTATION'!F19</f>
        <v>9</v>
      </c>
      <c r="G17" s="11">
        <f t="shared" si="1"/>
        <v>13.5</v>
      </c>
      <c r="H17" s="14">
        <f>'OUTSTATION-AFRICA LAB '!H19+'UBIPHARM-OUTSTATION'!H19+'LABOREX OUTSTATION'!H19+'CAMED &amp; TEDIS OUTSTATION'!H19</f>
        <v>52</v>
      </c>
      <c r="I17" s="11">
        <f t="shared" si="2"/>
        <v>78</v>
      </c>
      <c r="J17" s="14">
        <f>'OUTSTATION-AFRICA LAB '!J19+'UBIPHARM-OUTSTATION'!J19+'LABOREX OUTSTATION'!J19+'CAMED &amp; TEDIS OUTSTATION'!J19</f>
        <v>30</v>
      </c>
      <c r="K17" s="11">
        <f t="shared" si="3"/>
        <v>45</v>
      </c>
      <c r="L17" s="14">
        <f>'OUTSTATION-AFRICA LAB '!L19+'UBIPHARM-OUTSTATION'!L19+'LABOREX OUTSTATION'!L19+'CAMED &amp; TEDIS OUTSTATION'!L19</f>
        <v>25</v>
      </c>
      <c r="M17" s="11">
        <f t="shared" si="4"/>
        <v>37.5</v>
      </c>
      <c r="N17" s="14">
        <f>'OUTSTATION-AFRICA LAB '!N19+'UBIPHARM-OUTSTATION'!N19+'LABOREX OUTSTATION'!N19+'CAMED &amp; TEDIS OUTSTATION'!N19</f>
        <v>120</v>
      </c>
      <c r="O17" s="11">
        <f t="shared" si="5"/>
        <v>180</v>
      </c>
      <c r="P17" s="14">
        <f>'OUTSTATION-AFRICA LAB '!P19+'UBIPHARM-OUTSTATION'!P19+'LABOREX OUTSTATION'!P19+'CAMED &amp; TEDIS OUTSTATION'!P19</f>
        <v>0</v>
      </c>
      <c r="Q17" s="11">
        <f t="shared" si="6"/>
        <v>0</v>
      </c>
      <c r="R17" s="14">
        <f>'OUTSTATION-AFRICA LAB '!R19+'UBIPHARM-OUTSTATION'!R19+'LABOREX OUTSTATION'!R19+'CAMED &amp; TEDIS OUTSTATION'!R19</f>
        <v>0</v>
      </c>
      <c r="S17" s="11">
        <f t="shared" si="7"/>
        <v>0</v>
      </c>
      <c r="T17" s="14">
        <f>'OUTSTATION-AFRICA LAB '!T19+'UBIPHARM-OUTSTATION'!T19+'LABOREX OUTSTATION'!T19+'CAMED &amp; TEDIS OUTSTATION'!T19</f>
        <v>0</v>
      </c>
      <c r="U17" s="11">
        <f t="shared" si="8"/>
        <v>0</v>
      </c>
      <c r="V17" s="14">
        <f>'OUTSTATION-AFRICA LAB '!V19+'UBIPHARM-OUTSTATION'!V19+'LABOREX OUTSTATION'!V19+'CAMED &amp; TEDIS OUTSTATION'!V19</f>
        <v>504</v>
      </c>
      <c r="W17" s="11">
        <f t="shared" si="9"/>
        <v>756</v>
      </c>
      <c r="X17" s="20">
        <f t="shared" si="10"/>
        <v>740</v>
      </c>
      <c r="Y17" s="11">
        <f t="shared" si="11"/>
        <v>1110</v>
      </c>
      <c r="Z17" s="3"/>
      <c r="AA17" s="36"/>
    </row>
    <row r="18" spans="1:27">
      <c r="A18" s="11">
        <v>16</v>
      </c>
      <c r="B18" s="12" t="s">
        <v>58</v>
      </c>
      <c r="C18" s="13">
        <v>5.38</v>
      </c>
      <c r="D18" s="14">
        <f>'OUTSTATION-AFRICA LAB '!D20+'UBIPHARM-OUTSTATION'!D20+'LABOREX OUTSTATION'!D20+'CAMED &amp; TEDIS OUTSTATION'!D20</f>
        <v>47</v>
      </c>
      <c r="E18" s="11">
        <f>D18*C18</f>
        <v>252.85999999999999</v>
      </c>
      <c r="F18" s="14">
        <f>'OUTSTATION-AFRICA LAB '!F20+'UBIPHARM-OUTSTATION'!F20+'LABOREX OUTSTATION'!F20+'CAMED &amp; TEDIS OUTSTATION'!F20</f>
        <v>20</v>
      </c>
      <c r="G18" s="11">
        <f>C18*F18</f>
        <v>107.6</v>
      </c>
      <c r="H18" s="14">
        <f>'OUTSTATION-AFRICA LAB '!H20+'UBIPHARM-OUTSTATION'!H20+'LABOREX OUTSTATION'!H20+'CAMED &amp; TEDIS OUTSTATION'!H20</f>
        <v>38</v>
      </c>
      <c r="I18" s="11">
        <f>H18*C18</f>
        <v>204.44</v>
      </c>
      <c r="J18" s="14">
        <f>'OUTSTATION-AFRICA LAB '!J20+'UBIPHARM-OUTSTATION'!J20+'LABOREX OUTSTATION'!J20+'CAMED &amp; TEDIS OUTSTATION'!J20</f>
        <v>5</v>
      </c>
      <c r="K18" s="11">
        <f>J18*C18</f>
        <v>26.9</v>
      </c>
      <c r="L18" s="14">
        <f>'OUTSTATION-AFRICA LAB '!L20+'UBIPHARM-OUTSTATION'!L20+'LABOREX OUTSTATION'!L20+'CAMED &amp; TEDIS OUTSTATION'!L20</f>
        <v>10</v>
      </c>
      <c r="M18" s="11">
        <f>L18*C18</f>
        <v>53.8</v>
      </c>
      <c r="N18" s="14">
        <f>'OUTSTATION-AFRICA LAB '!N20+'UBIPHARM-OUTSTATION'!N20+'LABOREX OUTSTATION'!N20+'CAMED &amp; TEDIS OUTSTATION'!N20</f>
        <v>30</v>
      </c>
      <c r="O18" s="11">
        <f>C18*N18</f>
        <v>161.4</v>
      </c>
      <c r="P18" s="14">
        <f>'OUTSTATION-AFRICA LAB '!P20+'UBIPHARM-OUTSTATION'!P20+'LABOREX OUTSTATION'!P20+'CAMED &amp; TEDIS OUTSTATION'!P20</f>
        <v>36</v>
      </c>
      <c r="Q18" s="11">
        <f>P18*C18</f>
        <v>193.68</v>
      </c>
      <c r="R18" s="14">
        <f>'OUTSTATION-AFRICA LAB '!R20+'UBIPHARM-OUTSTATION'!R20+'LABOREX OUTSTATION'!R20+'CAMED &amp; TEDIS OUTSTATION'!R20</f>
        <v>9</v>
      </c>
      <c r="S18" s="11">
        <f>R18*C18</f>
        <v>48.42</v>
      </c>
      <c r="T18" s="14">
        <f>'OUTSTATION-AFRICA LAB '!T20+'UBIPHARM-OUTSTATION'!T20+'LABOREX OUTSTATION'!T20+'CAMED &amp; TEDIS OUTSTATION'!T20</f>
        <v>28</v>
      </c>
      <c r="U18" s="11">
        <f>T18*C18</f>
        <v>150.63999999999999</v>
      </c>
      <c r="V18" s="14">
        <f>'OUTSTATION-AFRICA LAB '!V20+'UBIPHARM-OUTSTATION'!V20+'LABOREX OUTSTATION'!V20+'CAMED &amp; TEDIS OUTSTATION'!V20</f>
        <v>3</v>
      </c>
      <c r="W18" s="11">
        <f>V18*C18</f>
        <v>16.14</v>
      </c>
      <c r="X18" s="20">
        <f>D18+F18+H18+J18+L18+N18+P18+R18+T18+V18</f>
        <v>226</v>
      </c>
      <c r="Y18" s="11">
        <f>X18*C18</f>
        <v>1215.8799999999999</v>
      </c>
    </row>
    <row r="19" spans="1:27">
      <c r="A19" s="11">
        <v>17</v>
      </c>
      <c r="B19" s="12" t="s">
        <v>59</v>
      </c>
      <c r="C19" s="13">
        <v>2</v>
      </c>
      <c r="D19" s="14">
        <f>'OUTSTATION-AFRICA LAB '!D21+'UBIPHARM-OUTSTATION'!D21+'LABOREX OUTSTATION'!D21+'CAMED &amp; TEDIS OUTSTATION'!D21</f>
        <v>0</v>
      </c>
      <c r="E19" s="11">
        <f>D19*C19</f>
        <v>0</v>
      </c>
      <c r="F19" s="14">
        <f>'OUTSTATION-AFRICA LAB '!F21+'UBIPHARM-OUTSTATION'!F21+'LABOREX OUTSTATION'!F21+'CAMED &amp; TEDIS OUTSTATION'!F21</f>
        <v>0</v>
      </c>
      <c r="G19" s="11">
        <f>C19*F19</f>
        <v>0</v>
      </c>
      <c r="H19" s="14">
        <f>'OUTSTATION-AFRICA LAB '!H21+'UBIPHARM-OUTSTATION'!H21+'LABOREX OUTSTATION'!H21+'CAMED &amp; TEDIS OUTSTATION'!H21</f>
        <v>42</v>
      </c>
      <c r="I19" s="11">
        <f>H19*C19</f>
        <v>84</v>
      </c>
      <c r="J19" s="14">
        <f>'OUTSTATION-AFRICA LAB '!J21+'UBIPHARM-OUTSTATION'!J21+'LABOREX OUTSTATION'!J21+'CAMED &amp; TEDIS OUTSTATION'!J21</f>
        <v>0</v>
      </c>
      <c r="K19" s="11">
        <f>J19*C19</f>
        <v>0</v>
      </c>
      <c r="L19" s="14">
        <f>'OUTSTATION-AFRICA LAB '!L21+'UBIPHARM-OUTSTATION'!L21+'LABOREX OUTSTATION'!L21+'CAMED &amp; TEDIS OUTSTATION'!L21</f>
        <v>0</v>
      </c>
      <c r="M19" s="11">
        <f>L19*C19</f>
        <v>0</v>
      </c>
      <c r="N19" s="14">
        <f>'OUTSTATION-AFRICA LAB '!N21+'UBIPHARM-OUTSTATION'!N21+'LABOREX OUTSTATION'!N21+'CAMED &amp; TEDIS OUTSTATION'!N21</f>
        <v>0</v>
      </c>
      <c r="O19" s="11">
        <f>C19*N19</f>
        <v>0</v>
      </c>
      <c r="P19" s="14">
        <f>'OUTSTATION-AFRICA LAB '!P21+'UBIPHARM-OUTSTATION'!P21+'LABOREX OUTSTATION'!P21+'CAMED &amp; TEDIS OUTSTATION'!P21</f>
        <v>0</v>
      </c>
      <c r="Q19" s="11">
        <f>P19*C19</f>
        <v>0</v>
      </c>
      <c r="R19" s="14">
        <f>'OUTSTATION-AFRICA LAB '!R21+'UBIPHARM-OUTSTATION'!R21+'LABOREX OUTSTATION'!R21+'CAMED &amp; TEDIS OUTSTATION'!R21</f>
        <v>0</v>
      </c>
      <c r="S19" s="11">
        <f>R19*C19</f>
        <v>0</v>
      </c>
      <c r="T19" s="14">
        <f>'OUTSTATION-AFRICA LAB '!T21+'UBIPHARM-OUTSTATION'!T21+'LABOREX OUTSTATION'!T21+'CAMED &amp; TEDIS OUTSTATION'!T21</f>
        <v>0</v>
      </c>
      <c r="U19" s="11">
        <f>T19*C19</f>
        <v>0</v>
      </c>
      <c r="V19" s="14">
        <f>'OUTSTATION-AFRICA LAB '!V21+'UBIPHARM-OUTSTATION'!V21+'LABOREX OUTSTATION'!V21+'CAMED &amp; TEDIS OUTSTATION'!V21</f>
        <v>0</v>
      </c>
      <c r="W19" s="11">
        <f>V19*C19</f>
        <v>0</v>
      </c>
      <c r="X19" s="20">
        <f>D19+F19+H19+J19+L19+N19+P19+R19+T19+V19</f>
        <v>42</v>
      </c>
      <c r="Y19" s="11">
        <f>X19*C19</f>
        <v>84</v>
      </c>
    </row>
    <row r="20" spans="1:27">
      <c r="A20" s="16"/>
      <c r="B20" s="17" t="s">
        <v>6</v>
      </c>
      <c r="C20" s="17"/>
      <c r="D20" s="17"/>
      <c r="E20" s="17">
        <f>SUM(E5:E17)</f>
        <v>2918.5499999999997</v>
      </c>
      <c r="F20" s="17"/>
      <c r="G20" s="17">
        <f>SUM(G5:G17)</f>
        <v>1175.9100000000001</v>
      </c>
      <c r="H20" s="17"/>
      <c r="I20" s="17">
        <f>SUM(I5:I17)</f>
        <v>1932.4799999999998</v>
      </c>
      <c r="J20" s="17"/>
      <c r="K20" s="17">
        <f>SUM(K5:K17)</f>
        <v>3116.2200000000003</v>
      </c>
      <c r="L20" s="17"/>
      <c r="M20" s="17">
        <f>SUM(M5:M17)</f>
        <v>2102.5900000000006</v>
      </c>
      <c r="N20" s="17"/>
      <c r="O20" s="17">
        <f>SUM(O5:O17)</f>
        <v>1148.75</v>
      </c>
      <c r="P20" s="17"/>
      <c r="Q20" s="17">
        <f>SUM(Q5:Q17)</f>
        <v>3375.25</v>
      </c>
      <c r="R20" s="17"/>
      <c r="S20" s="17">
        <f>SUM(S5:S17)</f>
        <v>4637.6399999999994</v>
      </c>
      <c r="T20" s="17"/>
      <c r="U20" s="17">
        <f>SUM(U5:U17)</f>
        <v>1179.96</v>
      </c>
      <c r="V20" s="17"/>
      <c r="W20" s="17">
        <f>SUM(W5:W17)</f>
        <v>8403.66</v>
      </c>
      <c r="X20" s="17"/>
      <c r="Y20" s="21">
        <f>E20+G20+I20+K20+M20+O20+Q20+S20+U20+W20</f>
        <v>29991.01</v>
      </c>
      <c r="Z20" s="3"/>
    </row>
    <row r="21" spans="1:2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/>
      <c r="B22" s="3"/>
      <c r="C22" s="3"/>
      <c r="D22" s="3" t="s">
        <v>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/>
      <c r="B23" s="3"/>
      <c r="C23" s="3"/>
      <c r="D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</sheetData>
  <mergeCells count="7">
    <mergeCell ref="V3:W3"/>
    <mergeCell ref="X3:Y3"/>
    <mergeCell ref="D3:E3"/>
    <mergeCell ref="F3:G3"/>
    <mergeCell ref="P3:Q3"/>
    <mergeCell ref="R3:S3"/>
    <mergeCell ref="T3:U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90" zoomScaleNormal="90" workbookViewId="0">
      <selection activeCell="J22" sqref="J22"/>
    </sheetView>
  </sheetViews>
  <sheetFormatPr baseColWidth="10" defaultColWidth="9" defaultRowHeight="14.5"/>
  <cols>
    <col min="2" max="2" width="18.81640625" customWidth="1"/>
    <col min="10" max="10" width="22.81640625" customWidth="1"/>
  </cols>
  <sheetData>
    <row r="1" spans="1:11">
      <c r="A1" s="1" t="s">
        <v>0</v>
      </c>
      <c r="B1" s="2">
        <v>45962</v>
      </c>
      <c r="C1" s="3"/>
      <c r="D1" s="3"/>
      <c r="E1" s="3"/>
      <c r="F1" s="3"/>
      <c r="G1" s="3"/>
      <c r="H1" s="3"/>
      <c r="I1" s="3"/>
    </row>
    <row r="2" spans="1:11">
      <c r="A2" s="4"/>
      <c r="B2" s="5"/>
      <c r="C2" s="6"/>
      <c r="D2" s="73" t="s">
        <v>46</v>
      </c>
      <c r="E2" s="74"/>
      <c r="F2" s="71" t="s">
        <v>47</v>
      </c>
      <c r="G2" s="72"/>
      <c r="H2" s="71" t="s">
        <v>6</v>
      </c>
      <c r="I2" s="72"/>
    </row>
    <row r="3" spans="1:11">
      <c r="A3" s="8"/>
      <c r="B3" s="9" t="s">
        <v>7</v>
      </c>
      <c r="C3" s="9" t="s">
        <v>8</v>
      </c>
      <c r="D3" s="10" t="s">
        <v>9</v>
      </c>
      <c r="E3" s="10" t="s">
        <v>10</v>
      </c>
      <c r="F3" s="18" t="s">
        <v>11</v>
      </c>
      <c r="G3" s="19" t="s">
        <v>12</v>
      </c>
      <c r="H3" s="18" t="s">
        <v>11</v>
      </c>
      <c r="I3" s="19" t="s">
        <v>12</v>
      </c>
      <c r="J3" t="s">
        <v>48</v>
      </c>
    </row>
    <row r="4" spans="1:11">
      <c r="A4" s="11">
        <v>1</v>
      </c>
      <c r="B4" s="12" t="s">
        <v>13</v>
      </c>
      <c r="C4" s="13">
        <v>0.99</v>
      </c>
      <c r="D4" s="14">
        <f>'OUTSTATION-AFRICA LAB '!X5+'UBIPHARM-OUTSTATION'!X5+'LABOREX OUTSTATION'!X5+'CAMED &amp; TEDIS OUTSTATION'!X5</f>
        <v>12371</v>
      </c>
      <c r="E4" s="14">
        <f>'OUTSTATION-AFRICA LAB '!Y5+'UBIPHARM-OUTSTATION'!Y5+'LABOREX OUTSTATION'!Y5+'CAMED &amp; TEDIS OUTSTATION'!Y5</f>
        <v>12247.289999999999</v>
      </c>
      <c r="F4" s="14">
        <f>'BAMAKO POOL-TOTAL'!R5</f>
        <v>13124</v>
      </c>
      <c r="G4" s="14">
        <f>'BAMAKO POOL-TOTAL'!S5</f>
        <v>12992.76</v>
      </c>
      <c r="H4" s="26">
        <f>SUM(D4,F4)</f>
        <v>25495</v>
      </c>
      <c r="I4" s="26">
        <f>SUM(E4,G4)</f>
        <v>25240.05</v>
      </c>
      <c r="J4">
        <v>25495</v>
      </c>
      <c r="K4" s="50">
        <f>J4-H4</f>
        <v>0</v>
      </c>
    </row>
    <row r="5" spans="1:11">
      <c r="A5" s="11">
        <v>2</v>
      </c>
      <c r="B5" s="12" t="s">
        <v>14</v>
      </c>
      <c r="C5" s="13">
        <v>2.29</v>
      </c>
      <c r="D5" s="14">
        <f>'OUTSTATION-AFRICA LAB '!X6+'UBIPHARM-OUTSTATION'!X6+'LABOREX OUTSTATION'!X6+'CAMED &amp; TEDIS OUTSTATION'!X6</f>
        <v>472</v>
      </c>
      <c r="E5" s="14">
        <f>'OUTSTATION-AFRICA LAB '!Y6+'UBIPHARM-OUTSTATION'!Y6+'LABOREX OUTSTATION'!Y6+'CAMED &amp; TEDIS OUTSTATION'!Y6</f>
        <v>1080.8799999999999</v>
      </c>
      <c r="F5" s="14">
        <f>'BAMAKO POOL-TOTAL'!R6</f>
        <v>664</v>
      </c>
      <c r="G5" s="14">
        <f>'BAMAKO POOL-TOTAL'!S6</f>
        <v>1520.56</v>
      </c>
      <c r="H5" s="26">
        <f>SUM(D5,F5)</f>
        <v>1136</v>
      </c>
      <c r="I5" s="26">
        <f t="shared" ref="I5:I18" si="0">SUM(E5,G5)</f>
        <v>2601.4399999999996</v>
      </c>
      <c r="J5">
        <v>1136</v>
      </c>
      <c r="K5" s="50">
        <f>J5-H5</f>
        <v>0</v>
      </c>
    </row>
    <row r="6" spans="1:11">
      <c r="A6" s="11">
        <v>3</v>
      </c>
      <c r="B6" s="12" t="s">
        <v>15</v>
      </c>
      <c r="C6" s="13">
        <v>3.66</v>
      </c>
      <c r="D6" s="14">
        <f>'OUTSTATION-AFRICA LAB '!X7+'UBIPHARM-OUTSTATION'!X7+'LABOREX OUTSTATION'!X7+'CAMED &amp; TEDIS OUTSTATION'!X7</f>
        <v>1553</v>
      </c>
      <c r="E6" s="14">
        <f>'OUTSTATION-AFRICA LAB '!Y7+'UBIPHARM-OUTSTATION'!Y7+'LABOREX OUTSTATION'!Y7+'CAMED &amp; TEDIS OUTSTATION'!Y7</f>
        <v>5683.9800000000005</v>
      </c>
      <c r="F6" s="14">
        <f>'BAMAKO POOL-TOTAL'!R7</f>
        <v>637</v>
      </c>
      <c r="G6" s="14">
        <f>'BAMAKO POOL-TOTAL'!S7</f>
        <v>2331.42</v>
      </c>
      <c r="H6" s="26">
        <f t="shared" ref="H6:H17" si="1">SUM(D6,F6)</f>
        <v>2190</v>
      </c>
      <c r="I6" s="26">
        <f t="shared" si="0"/>
        <v>8015.4000000000005</v>
      </c>
      <c r="J6">
        <v>2190</v>
      </c>
      <c r="K6" s="50">
        <f t="shared" ref="K6:K21" si="2">J6-H6</f>
        <v>0</v>
      </c>
    </row>
    <row r="7" spans="1:11">
      <c r="A7" s="11">
        <v>4</v>
      </c>
      <c r="B7" s="12" t="s">
        <v>16</v>
      </c>
      <c r="C7" s="13">
        <v>2.81</v>
      </c>
      <c r="D7" s="14">
        <f>'OUTSTATION-AFRICA LAB '!X8+'UBIPHARM-OUTSTATION'!X8+'LABOREX OUTSTATION'!X8+'CAMED &amp; TEDIS OUTSTATION'!X8</f>
        <v>154</v>
      </c>
      <c r="E7" s="14">
        <f>'OUTSTATION-AFRICA LAB '!Y8+'UBIPHARM-OUTSTATION'!Y8+'LABOREX OUTSTATION'!Y8+'CAMED &amp; TEDIS OUTSTATION'!Y8</f>
        <v>432.74</v>
      </c>
      <c r="F7" s="14">
        <f>'BAMAKO POOL-TOTAL'!R8</f>
        <v>201</v>
      </c>
      <c r="G7" s="14">
        <f>'BAMAKO POOL-TOTAL'!S8</f>
        <v>564.81000000000006</v>
      </c>
      <c r="H7" s="26">
        <f t="shared" si="1"/>
        <v>355</v>
      </c>
      <c r="I7" s="26">
        <f t="shared" si="0"/>
        <v>997.55000000000007</v>
      </c>
      <c r="J7">
        <v>355</v>
      </c>
      <c r="K7" s="50">
        <f t="shared" si="2"/>
        <v>0</v>
      </c>
    </row>
    <row r="8" spans="1:11">
      <c r="A8" s="11">
        <v>5</v>
      </c>
      <c r="B8" s="12" t="s">
        <v>17</v>
      </c>
      <c r="C8" s="13">
        <v>3.46</v>
      </c>
      <c r="D8" s="14">
        <f>'OUTSTATION-AFRICA LAB '!X9+'UBIPHARM-OUTSTATION'!X9+'LABOREX OUTSTATION'!X9+'CAMED &amp; TEDIS OUTSTATION'!X9</f>
        <v>613</v>
      </c>
      <c r="E8" s="14">
        <f>'OUTSTATION-AFRICA LAB '!Y9+'UBIPHARM-OUTSTATION'!Y9+'LABOREX OUTSTATION'!Y9+'CAMED &amp; TEDIS OUTSTATION'!Y9</f>
        <v>2120.98</v>
      </c>
      <c r="F8" s="14">
        <f>'BAMAKO POOL-TOTAL'!R9</f>
        <v>423</v>
      </c>
      <c r="G8" s="14">
        <f>'BAMAKO POOL-TOTAL'!S9</f>
        <v>1463.58</v>
      </c>
      <c r="H8" s="26">
        <f t="shared" si="1"/>
        <v>1036</v>
      </c>
      <c r="I8" s="26">
        <f t="shared" si="0"/>
        <v>3584.56</v>
      </c>
      <c r="J8">
        <v>1036</v>
      </c>
      <c r="K8" s="50">
        <f t="shared" si="2"/>
        <v>0</v>
      </c>
    </row>
    <row r="9" spans="1:11">
      <c r="A9" s="11">
        <v>6</v>
      </c>
      <c r="B9" s="12" t="s">
        <v>18</v>
      </c>
      <c r="C9" s="13">
        <v>1.06</v>
      </c>
      <c r="D9" s="14">
        <f>'OUTSTATION-AFRICA LAB '!X10+'UBIPHARM-OUTSTATION'!X10+'LABOREX OUTSTATION'!X10+'CAMED &amp; TEDIS OUTSTATION'!X10</f>
        <v>152</v>
      </c>
      <c r="E9" s="14">
        <f>'OUTSTATION-AFRICA LAB '!Y10+'UBIPHARM-OUTSTATION'!Y10+'LABOREX OUTSTATION'!Y10+'CAMED &amp; TEDIS OUTSTATION'!Y10</f>
        <v>161.12</v>
      </c>
      <c r="F9" s="14">
        <f>'BAMAKO POOL-TOTAL'!R10</f>
        <v>0</v>
      </c>
      <c r="G9" s="14">
        <f>'BAMAKO POOL-TOTAL'!S10</f>
        <v>0</v>
      </c>
      <c r="H9" s="26">
        <f t="shared" si="1"/>
        <v>152</v>
      </c>
      <c r="I9" s="26">
        <f t="shared" si="0"/>
        <v>161.12</v>
      </c>
      <c r="J9">
        <v>0</v>
      </c>
      <c r="K9" s="50">
        <f t="shared" si="2"/>
        <v>-152</v>
      </c>
    </row>
    <row r="10" spans="1:11">
      <c r="A10" s="11">
        <v>7</v>
      </c>
      <c r="B10" s="12" t="s">
        <v>19</v>
      </c>
      <c r="C10" s="13">
        <v>3.63</v>
      </c>
      <c r="D10" s="14">
        <f>'OUTSTATION-AFRICA LAB '!X11+'UBIPHARM-OUTSTATION'!X11+'LABOREX OUTSTATION'!X11+'CAMED &amp; TEDIS OUTSTATION'!X11</f>
        <v>5</v>
      </c>
      <c r="E10" s="14">
        <f>'OUTSTATION-AFRICA LAB '!Y11+'UBIPHARM-OUTSTATION'!Y11+'LABOREX OUTSTATION'!Y11+'CAMED &amp; TEDIS OUTSTATION'!Y11</f>
        <v>18.149999999999999</v>
      </c>
      <c r="F10" s="14">
        <f>'BAMAKO POOL-TOTAL'!R11</f>
        <v>0</v>
      </c>
      <c r="G10" s="14">
        <f>'BAMAKO POOL-TOTAL'!S11</f>
        <v>0</v>
      </c>
      <c r="H10" s="26">
        <f t="shared" si="1"/>
        <v>5</v>
      </c>
      <c r="I10" s="26">
        <f t="shared" si="0"/>
        <v>18.149999999999999</v>
      </c>
      <c r="J10">
        <v>0</v>
      </c>
      <c r="K10" s="50">
        <f t="shared" si="2"/>
        <v>-5</v>
      </c>
    </row>
    <row r="11" spans="1:11">
      <c r="A11" s="11">
        <v>8</v>
      </c>
      <c r="B11" s="12" t="s">
        <v>20</v>
      </c>
      <c r="C11" s="13">
        <v>0.85</v>
      </c>
      <c r="D11" s="14">
        <f>'OUTSTATION-AFRICA LAB '!X12+'UBIPHARM-OUTSTATION'!X12+'LABOREX OUTSTATION'!X12+'CAMED &amp; TEDIS OUTSTATION'!X12</f>
        <v>87</v>
      </c>
      <c r="E11" s="14">
        <f>'OUTSTATION-AFRICA LAB '!Y12+'UBIPHARM-OUTSTATION'!Y12+'LABOREX OUTSTATION'!Y12+'CAMED &amp; TEDIS OUTSTATION'!Y12</f>
        <v>73.95</v>
      </c>
      <c r="F11" s="14">
        <f>'BAMAKO POOL-TOTAL'!R12</f>
        <v>221</v>
      </c>
      <c r="G11" s="14">
        <f>'BAMAKO POOL-TOTAL'!S12</f>
        <v>187.85</v>
      </c>
      <c r="H11" s="26">
        <f>SUM(D11,F11)</f>
        <v>308</v>
      </c>
      <c r="I11" s="26">
        <f t="shared" si="0"/>
        <v>261.8</v>
      </c>
      <c r="J11">
        <v>308</v>
      </c>
      <c r="K11" s="50">
        <f t="shared" si="2"/>
        <v>0</v>
      </c>
    </row>
    <row r="12" spans="1:11">
      <c r="A12" s="11">
        <v>9</v>
      </c>
      <c r="B12" s="12" t="s">
        <v>21</v>
      </c>
      <c r="C12" s="13">
        <v>1.98</v>
      </c>
      <c r="D12" s="14">
        <f>'OUTSTATION-AFRICA LAB '!X13+'UBIPHARM-OUTSTATION'!X13+'LABOREX OUTSTATION'!X13+'CAMED &amp; TEDIS OUTSTATION'!X13</f>
        <v>2730</v>
      </c>
      <c r="E12" s="14">
        <f>'OUTSTATION-AFRICA LAB '!Y13+'UBIPHARM-OUTSTATION'!Y13+'LABOREX OUTSTATION'!Y13+'CAMED &amp; TEDIS OUTSTATION'!Y13</f>
        <v>5405.4</v>
      </c>
      <c r="F12" s="14">
        <f>'BAMAKO POOL-TOTAL'!R13</f>
        <v>1451</v>
      </c>
      <c r="G12" s="14">
        <f>'BAMAKO POOL-TOTAL'!S13</f>
        <v>2872.98</v>
      </c>
      <c r="H12" s="26">
        <f t="shared" si="1"/>
        <v>4181</v>
      </c>
      <c r="I12" s="26">
        <f t="shared" si="0"/>
        <v>8278.3799999999992</v>
      </c>
      <c r="J12">
        <v>4181</v>
      </c>
      <c r="K12" s="50">
        <f t="shared" si="2"/>
        <v>0</v>
      </c>
    </row>
    <row r="13" spans="1:11">
      <c r="A13" s="11">
        <v>10</v>
      </c>
      <c r="B13" s="15" t="s">
        <v>22</v>
      </c>
      <c r="C13" s="13">
        <v>1.98</v>
      </c>
      <c r="D13" s="14">
        <f>'OUTSTATION-AFRICA LAB '!X14+'UBIPHARM-OUTSTATION'!X14+'LABOREX OUTSTATION'!X14+'CAMED &amp; TEDIS OUTSTATION'!X14</f>
        <v>464</v>
      </c>
      <c r="E13" s="14">
        <f>'OUTSTATION-AFRICA LAB '!Y14+'UBIPHARM-OUTSTATION'!Y14+'LABOREX OUTSTATION'!Y14+'CAMED &amp; TEDIS OUTSTATION'!Y14</f>
        <v>918.71999999999991</v>
      </c>
      <c r="F13" s="14">
        <f>'BAMAKO POOL-TOTAL'!R14</f>
        <v>355</v>
      </c>
      <c r="G13" s="14">
        <f>'BAMAKO POOL-TOTAL'!S14</f>
        <v>702.9</v>
      </c>
      <c r="H13" s="26">
        <f t="shared" si="1"/>
        <v>819</v>
      </c>
      <c r="I13" s="26">
        <f t="shared" si="0"/>
        <v>1621.62</v>
      </c>
      <c r="J13">
        <v>819</v>
      </c>
      <c r="K13" s="50">
        <f t="shared" si="2"/>
        <v>0</v>
      </c>
    </row>
    <row r="14" spans="1:11">
      <c r="A14" s="11">
        <v>11</v>
      </c>
      <c r="B14" s="12" t="s">
        <v>23</v>
      </c>
      <c r="C14" s="13">
        <v>4.6900000000000004</v>
      </c>
      <c r="D14" s="14">
        <f>'OUTSTATION-AFRICA LAB '!X15+'UBIPHARM-OUTSTATION'!X15+'LABOREX OUTSTATION'!X15+'CAMED &amp; TEDIS OUTSTATION'!X15</f>
        <v>140</v>
      </c>
      <c r="E14" s="14">
        <f>'OUTSTATION-AFRICA LAB '!Y15+'UBIPHARM-OUTSTATION'!Y15+'LABOREX OUTSTATION'!Y15+'CAMED &amp; TEDIS OUTSTATION'!Y15</f>
        <v>656.6</v>
      </c>
      <c r="F14" s="14">
        <f>'BAMAKO POOL-TOTAL'!R15</f>
        <v>0</v>
      </c>
      <c r="G14" s="14">
        <f>'BAMAKO POOL-TOTAL'!S15</f>
        <v>0</v>
      </c>
      <c r="H14" s="26">
        <f t="shared" si="1"/>
        <v>140</v>
      </c>
      <c r="I14" s="26">
        <f t="shared" si="0"/>
        <v>656.6</v>
      </c>
      <c r="J14">
        <v>0</v>
      </c>
      <c r="K14" s="50">
        <f t="shared" si="2"/>
        <v>-140</v>
      </c>
    </row>
    <row r="15" spans="1:11">
      <c r="A15" s="11">
        <v>12</v>
      </c>
      <c r="B15" s="12" t="s">
        <v>24</v>
      </c>
      <c r="C15" s="13">
        <v>2.9</v>
      </c>
      <c r="D15" s="14">
        <f>'OUTSTATION-AFRICA LAB '!X16+'UBIPHARM-OUTSTATION'!X16+'LABOREX OUTSTATION'!X16+'CAMED &amp; TEDIS OUTSTATION'!X16</f>
        <v>28</v>
      </c>
      <c r="E15" s="14">
        <f>'OUTSTATION-AFRICA LAB '!Y16+'UBIPHARM-OUTSTATION'!Y16+'LABOREX OUTSTATION'!Y16+'CAMED &amp; TEDIS OUTSTATION'!Y16</f>
        <v>81.2</v>
      </c>
      <c r="F15" s="14">
        <f>'BAMAKO POOL-TOTAL'!R16</f>
        <v>0</v>
      </c>
      <c r="G15" s="14">
        <f>'BAMAKO POOL-TOTAL'!S16</f>
        <v>0</v>
      </c>
      <c r="H15" s="26">
        <f t="shared" si="1"/>
        <v>28</v>
      </c>
      <c r="I15" s="26">
        <f t="shared" si="0"/>
        <v>81.2</v>
      </c>
      <c r="J15">
        <v>0</v>
      </c>
      <c r="K15" s="50">
        <f t="shared" si="2"/>
        <v>-28</v>
      </c>
    </row>
    <row r="16" spans="1:11">
      <c r="A16" s="11">
        <v>13</v>
      </c>
      <c r="B16" s="12" t="s">
        <v>55</v>
      </c>
      <c r="C16" s="13">
        <v>1.9</v>
      </c>
      <c r="D16" s="14">
        <f>'OUTSTATION-AFRICA LAB '!X17+'UBIPHARM-OUTSTATION'!X17+'LABOREX OUTSTATION'!X17+'CAMED &amp; TEDIS OUTSTATION'!X17</f>
        <v>364</v>
      </c>
      <c r="E16" s="14">
        <f>'OUTSTATION-AFRICA LAB '!Y17+'UBIPHARM-OUTSTATION'!Y17+'LABOREX OUTSTATION'!Y17+'CAMED &amp; TEDIS OUTSTATION'!Y17</f>
        <v>691.6</v>
      </c>
      <c r="F16" s="14">
        <f>'BAMAKO POOL-TOTAL'!R17</f>
        <v>210</v>
      </c>
      <c r="G16" s="14">
        <f>'BAMAKO POOL-TOTAL'!S17</f>
        <v>399</v>
      </c>
      <c r="H16" s="26">
        <f t="shared" si="1"/>
        <v>574</v>
      </c>
      <c r="I16" s="26">
        <f t="shared" si="0"/>
        <v>1090.5999999999999</v>
      </c>
      <c r="J16">
        <v>574</v>
      </c>
      <c r="K16" s="50">
        <f t="shared" si="2"/>
        <v>0</v>
      </c>
    </row>
    <row r="17" spans="1:11">
      <c r="A17" s="11">
        <v>14</v>
      </c>
      <c r="B17" s="12" t="s">
        <v>56</v>
      </c>
      <c r="C17" s="13">
        <v>2.4</v>
      </c>
      <c r="D17" s="14">
        <f>'OUTSTATION-AFRICA LAB '!X18+'UBIPHARM-OUTSTATION'!X18+'LABOREX OUTSTATION'!X18+'CAMED &amp; TEDIS OUTSTATION'!X18</f>
        <v>0</v>
      </c>
      <c r="E17" s="14">
        <f>'OUTSTATION-AFRICA LAB '!Y18+'UBIPHARM-OUTSTATION'!Y18+'LABOREX OUTSTATION'!Y18+'CAMED &amp; TEDIS OUTSTATION'!Y18</f>
        <v>0</v>
      </c>
      <c r="F17" s="14">
        <f>'BAMAKO POOL-TOTAL'!R18</f>
        <v>0</v>
      </c>
      <c r="G17" s="14">
        <f>'BAMAKO POOL-TOTAL'!S18</f>
        <v>0</v>
      </c>
      <c r="H17" s="26">
        <f t="shared" si="1"/>
        <v>0</v>
      </c>
      <c r="I17" s="26">
        <f t="shared" si="0"/>
        <v>0</v>
      </c>
      <c r="J17">
        <v>0</v>
      </c>
      <c r="K17" s="50">
        <f t="shared" si="2"/>
        <v>0</v>
      </c>
    </row>
    <row r="18" spans="1:11">
      <c r="A18" s="11">
        <v>15</v>
      </c>
      <c r="B18" s="12" t="s">
        <v>25</v>
      </c>
      <c r="C18" s="13">
        <v>1.5</v>
      </c>
      <c r="D18" s="14">
        <f>'OUTSTATION-AFRICA LAB '!X19+'UBIPHARM-OUTSTATION'!X19+'LABOREX OUTSTATION'!X19+'CAMED &amp; TEDIS OUTSTATION'!X19</f>
        <v>740</v>
      </c>
      <c r="E18" s="14">
        <f>'OUTSTATION-AFRICA LAB '!Y19+'UBIPHARM-OUTSTATION'!Y19+'LABOREX OUTSTATION'!Y19+'CAMED &amp; TEDIS OUTSTATION'!Y19</f>
        <v>1110</v>
      </c>
      <c r="F18" s="14">
        <f>'BAMAKO POOL-TOTAL'!R19</f>
        <v>0</v>
      </c>
      <c r="G18" s="14">
        <f>'BAMAKO POOL-TOTAL'!S19</f>
        <v>0</v>
      </c>
      <c r="H18" s="26">
        <f>SUM(D18,F18)</f>
        <v>740</v>
      </c>
      <c r="I18" s="26">
        <f t="shared" si="0"/>
        <v>1110</v>
      </c>
      <c r="J18">
        <v>0</v>
      </c>
      <c r="K18" s="50">
        <f>J18-H18</f>
        <v>-740</v>
      </c>
    </row>
    <row r="19" spans="1:11">
      <c r="A19" s="11">
        <v>16</v>
      </c>
      <c r="B19" s="12" t="s">
        <v>58</v>
      </c>
      <c r="C19" s="13">
        <v>5.38</v>
      </c>
      <c r="D19" s="14">
        <f>'OUTSTATION-AFRICA LAB '!X20+'UBIPHARM-OUTSTATION'!X20+'LABOREX OUTSTATION'!X20+'CAMED &amp; TEDIS OUTSTATION'!X20</f>
        <v>226</v>
      </c>
      <c r="E19" s="14">
        <f>'OUTSTATION-AFRICA LAB '!Y20+'UBIPHARM-OUTSTATION'!Y20+'LABOREX OUTSTATION'!Y20+'CAMED &amp; TEDIS OUTSTATION'!Y20</f>
        <v>1215.8799999999999</v>
      </c>
      <c r="F19" s="14">
        <f>'BAMAKO POOL-TOTAL'!R20</f>
        <v>204</v>
      </c>
      <c r="G19" s="14">
        <f>'BAMAKO POOL-TOTAL'!S20</f>
        <v>1097.52</v>
      </c>
      <c r="H19" s="26">
        <f>SUM(D19,F19)</f>
        <v>430</v>
      </c>
      <c r="I19" s="26">
        <f>SUM(E19,G19)</f>
        <v>2313.3999999999996</v>
      </c>
      <c r="J19">
        <v>430</v>
      </c>
      <c r="K19" s="50">
        <f>J19-H19</f>
        <v>0</v>
      </c>
    </row>
    <row r="20" spans="1:11">
      <c r="A20" s="11">
        <v>17</v>
      </c>
      <c r="B20" s="12" t="s">
        <v>59</v>
      </c>
      <c r="C20" s="13">
        <v>2</v>
      </c>
      <c r="D20" s="14">
        <f>'OUTSTATION-AFRICA LAB '!X21+'UBIPHARM-OUTSTATION'!X21+'LABOREX OUTSTATION'!X21+'CAMED &amp; TEDIS OUTSTATION'!X21</f>
        <v>42</v>
      </c>
      <c r="E20" s="14">
        <f>'OUTSTATION-AFRICA LAB '!Y21+'UBIPHARM-OUTSTATION'!Y21+'LABOREX OUTSTATION'!Y21+'CAMED &amp; TEDIS OUTSTATION'!Y21</f>
        <v>84</v>
      </c>
      <c r="F20" s="14">
        <f>'BAMAKO POOL-TOTAL'!R21</f>
        <v>0</v>
      </c>
      <c r="G20" s="14">
        <f>'BAMAKO POOL-TOTAL'!S21</f>
        <v>0</v>
      </c>
      <c r="H20" s="26">
        <f>SUM(D20,F20)</f>
        <v>42</v>
      </c>
      <c r="I20" s="26">
        <f>SUM(E20,G20)</f>
        <v>84</v>
      </c>
      <c r="J20">
        <v>0</v>
      </c>
      <c r="K20" s="50">
        <f>J20-H20</f>
        <v>-42</v>
      </c>
    </row>
    <row r="21" spans="1:11">
      <c r="A21" s="16"/>
      <c r="B21" s="17" t="s">
        <v>6</v>
      </c>
      <c r="C21" s="17"/>
      <c r="D21" s="17"/>
      <c r="E21" s="27">
        <f>SUM(E4:E20)</f>
        <v>31982.489999999998</v>
      </c>
      <c r="F21" s="17"/>
      <c r="G21" s="27">
        <f>SUM(G4:G20)</f>
        <v>24133.379999999997</v>
      </c>
      <c r="H21" s="17"/>
      <c r="I21" s="27">
        <f>SUM(I4:I20)</f>
        <v>56115.87</v>
      </c>
      <c r="K21" s="50">
        <f t="shared" si="2"/>
        <v>0</v>
      </c>
    </row>
  </sheetData>
  <mergeCells count="3">
    <mergeCell ref="D2:E2"/>
    <mergeCell ref="F2:G2"/>
    <mergeCell ref="H2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zoomScale="88" zoomScaleNormal="88" workbookViewId="0">
      <selection activeCell="M4" sqref="M4"/>
    </sheetView>
  </sheetViews>
  <sheetFormatPr baseColWidth="10" defaultColWidth="9" defaultRowHeight="14.5"/>
  <cols>
    <col min="1" max="2" width="18.81640625" customWidth="1"/>
    <col min="18" max="18" width="13.453125" customWidth="1"/>
    <col min="19" max="19" width="9" style="59"/>
    <col min="20" max="23" width="9" style="60"/>
  </cols>
  <sheetData>
    <row r="1" spans="1:18">
      <c r="A1" s="1" t="s">
        <v>0</v>
      </c>
      <c r="B1" s="2">
        <v>45627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2"/>
    </row>
    <row r="2" spans="1:18" ht="15" customHeight="1">
      <c r="A2" s="4"/>
      <c r="B2" s="5"/>
      <c r="C2" s="6"/>
      <c r="D2" s="73" t="s">
        <v>49</v>
      </c>
      <c r="E2" s="74"/>
      <c r="F2" s="71" t="s">
        <v>50</v>
      </c>
      <c r="G2" s="72"/>
      <c r="H2" s="71" t="s">
        <v>31</v>
      </c>
      <c r="I2" s="72"/>
      <c r="J2" s="75" t="s">
        <v>32</v>
      </c>
      <c r="K2" s="76"/>
      <c r="L2" s="71" t="s">
        <v>34</v>
      </c>
      <c r="M2" s="77"/>
      <c r="N2" s="71" t="s">
        <v>6</v>
      </c>
      <c r="O2" s="72"/>
      <c r="P2" s="71" t="s">
        <v>51</v>
      </c>
      <c r="Q2" s="101"/>
      <c r="R2" s="102" t="s">
        <v>52</v>
      </c>
    </row>
    <row r="3" spans="1:18">
      <c r="A3" s="8"/>
      <c r="B3" s="9" t="s">
        <v>7</v>
      </c>
      <c r="C3" s="9" t="s">
        <v>8</v>
      </c>
      <c r="D3" s="10" t="s">
        <v>9</v>
      </c>
      <c r="E3" s="10" t="s">
        <v>10</v>
      </c>
      <c r="F3" s="18" t="s">
        <v>11</v>
      </c>
      <c r="G3" s="19" t="s">
        <v>12</v>
      </c>
      <c r="H3" s="18" t="s">
        <v>11</v>
      </c>
      <c r="I3" s="19" t="s">
        <v>12</v>
      </c>
      <c r="J3" s="18" t="s">
        <v>11</v>
      </c>
      <c r="K3" s="19" t="s">
        <v>12</v>
      </c>
      <c r="L3" s="18" t="s">
        <v>11</v>
      </c>
      <c r="M3" s="19" t="s">
        <v>12</v>
      </c>
      <c r="N3" s="18" t="s">
        <v>11</v>
      </c>
      <c r="O3" s="19" t="s">
        <v>12</v>
      </c>
      <c r="P3" s="18" t="s">
        <v>11</v>
      </c>
      <c r="Q3" s="23" t="s">
        <v>12</v>
      </c>
      <c r="R3" s="102"/>
    </row>
    <row r="4" spans="1:18">
      <c r="A4" s="11">
        <v>1</v>
      </c>
      <c r="B4" s="12" t="s">
        <v>13</v>
      </c>
      <c r="C4" s="13">
        <v>0.99</v>
      </c>
      <c r="D4" s="14">
        <f>'BAMAKO POOL-LABOREX'!D5+'BAMAKO POOL-LABOREX'!F5</f>
        <v>203</v>
      </c>
      <c r="E4" s="14">
        <f>'BAMAKO POOL-LABOREX'!E5+'BAMAKO POOL-LABOREX'!G5</f>
        <v>202.11</v>
      </c>
      <c r="F4" s="14">
        <f>'BAMAKO POOL-LABOREX'!H5+'BAMAKO POOL-LABOREX'!J5</f>
        <v>1008</v>
      </c>
      <c r="G4" s="14">
        <f>'BAMAKO POOL-LABOREX'!I5+'BAMAKO POOL-LABOREX'!K5</f>
        <v>997.92000000000007</v>
      </c>
      <c r="H4" s="14">
        <f>'BAMAKO POOL-LABOREX'!L5</f>
        <v>1296</v>
      </c>
      <c r="I4" s="14">
        <f>'BAMAKO POOL-LABOREX'!M5</f>
        <v>1283.04</v>
      </c>
      <c r="J4" s="14">
        <f>'BAMAKO POOL-LABOREX'!N5</f>
        <v>3262</v>
      </c>
      <c r="K4" s="14">
        <f>'BAMAKO POOL-LABOREX'!O5</f>
        <v>3229.38</v>
      </c>
      <c r="L4" s="14">
        <f>'BAMAKO POOL-LABOREX'!R5</f>
        <v>1521</v>
      </c>
      <c r="M4" s="14">
        <f>'BAMAKO POOL-LABOREX'!S5</f>
        <v>1505.79</v>
      </c>
      <c r="N4" s="20">
        <f>D4+F4+H4+J4+L4</f>
        <v>7290</v>
      </c>
      <c r="O4" s="11">
        <f>N4*C4</f>
        <v>7217.1</v>
      </c>
      <c r="P4" s="14">
        <f>D4+F4+H4+J4</f>
        <v>5769</v>
      </c>
      <c r="Q4" s="24">
        <f>P4*C4</f>
        <v>5711.31</v>
      </c>
      <c r="R4" s="24">
        <f>P4/4</f>
        <v>1442.25</v>
      </c>
    </row>
    <row r="5" spans="1:18">
      <c r="A5" s="11">
        <v>2</v>
      </c>
      <c r="B5" s="12" t="s">
        <v>14</v>
      </c>
      <c r="C5" s="13">
        <v>2.29</v>
      </c>
      <c r="D5" s="14">
        <f>'BAMAKO POOL-LABOREX'!D6+'BAMAKO POOL-LABOREX'!F6</f>
        <v>156</v>
      </c>
      <c r="E5" s="14">
        <f>'BAMAKO POOL-LABOREX'!E6+'BAMAKO POOL-LABOREX'!G6</f>
        <v>336.94</v>
      </c>
      <c r="F5" s="14">
        <f>'BAMAKO POOL-LABOREX'!H6+'BAMAKO POOL-LABOREX'!J6</f>
        <v>118</v>
      </c>
      <c r="G5" s="14">
        <f>'BAMAKO POOL-LABOREX'!I6+'BAMAKO POOL-LABOREX'!K6</f>
        <v>270.22000000000003</v>
      </c>
      <c r="H5" s="14">
        <f>'BAMAKO POOL-LABOREX'!L6</f>
        <v>83</v>
      </c>
      <c r="I5" s="14">
        <f>'BAMAKO POOL-LABOREX'!M6</f>
        <v>190.07</v>
      </c>
      <c r="J5" s="14">
        <f>'BAMAKO POOL-LABOREX'!N6</f>
        <v>167</v>
      </c>
      <c r="K5" s="14">
        <f>'BAMAKO POOL-LABOREX'!O6</f>
        <v>382.43</v>
      </c>
      <c r="L5" s="14">
        <f>'BAMAKO POOL-LABOREX'!R6</f>
        <v>32</v>
      </c>
      <c r="M5" s="14">
        <f>'BAMAKO POOL-LABOREX'!S6</f>
        <v>73.28</v>
      </c>
      <c r="N5" s="20">
        <f t="shared" ref="N5:N15" si="0">D5+F5+H5+J5+L5</f>
        <v>556</v>
      </c>
      <c r="O5" s="11">
        <f t="shared" ref="O5:O15" si="1">N5*C5</f>
        <v>1273.24</v>
      </c>
      <c r="P5" s="14">
        <f t="shared" ref="P5:P15" si="2">D5+F5+H5+J5</f>
        <v>524</v>
      </c>
      <c r="Q5" s="24">
        <f t="shared" ref="Q5:Q15" si="3">P5*C5</f>
        <v>1199.96</v>
      </c>
      <c r="R5" s="24">
        <f t="shared" ref="R5:R15" si="4">P5/4</f>
        <v>131</v>
      </c>
    </row>
    <row r="6" spans="1:18">
      <c r="A6" s="11">
        <v>3</v>
      </c>
      <c r="B6" s="12" t="s">
        <v>15</v>
      </c>
      <c r="C6" s="13">
        <v>3.66</v>
      </c>
      <c r="D6" s="14">
        <f>'BAMAKO POOL-LABOREX'!D7+'BAMAKO POOL-LABOREX'!F7</f>
        <v>27</v>
      </c>
      <c r="E6" s="14">
        <f>'BAMAKO POOL-LABOREX'!E7+'BAMAKO POOL-LABOREX'!G7</f>
        <v>98.820000000000007</v>
      </c>
      <c r="F6" s="14">
        <f>'BAMAKO POOL-LABOREX'!H7+'BAMAKO POOL-LABOREX'!J7</f>
        <v>8</v>
      </c>
      <c r="G6" s="14">
        <f>'BAMAKO POOL-LABOREX'!I7+'BAMAKO POOL-LABOREX'!K7</f>
        <v>29.28</v>
      </c>
      <c r="H6" s="14">
        <f>'BAMAKO POOL-LABOREX'!L7</f>
        <v>28</v>
      </c>
      <c r="I6" s="14">
        <f>'BAMAKO POOL-LABOREX'!M7</f>
        <v>102.48</v>
      </c>
      <c r="J6" s="14">
        <f>'BAMAKO POOL-LABOREX'!N7</f>
        <v>35</v>
      </c>
      <c r="K6" s="14">
        <f>'BAMAKO POOL-LABOREX'!O7</f>
        <v>128.1</v>
      </c>
      <c r="L6" s="14">
        <f>'BAMAKO POOL-LABOREX'!R7</f>
        <v>4</v>
      </c>
      <c r="M6" s="14">
        <f>'BAMAKO POOL-LABOREX'!S7</f>
        <v>14.64</v>
      </c>
      <c r="N6" s="20">
        <f t="shared" si="0"/>
        <v>102</v>
      </c>
      <c r="O6" s="11">
        <f t="shared" si="1"/>
        <v>373.32</v>
      </c>
      <c r="P6" s="14">
        <f t="shared" si="2"/>
        <v>98</v>
      </c>
      <c r="Q6" s="24">
        <f t="shared" si="3"/>
        <v>358.68</v>
      </c>
      <c r="R6" s="24">
        <f t="shared" si="4"/>
        <v>24.5</v>
      </c>
    </row>
    <row r="7" spans="1:18">
      <c r="A7" s="11">
        <v>4</v>
      </c>
      <c r="B7" s="12" t="s">
        <v>16</v>
      </c>
      <c r="C7" s="13">
        <v>2.81</v>
      </c>
      <c r="D7" s="14">
        <f>'BAMAKO POOL-LABOREX'!D8+'BAMAKO POOL-LABOREX'!F8</f>
        <v>39</v>
      </c>
      <c r="E7" s="14">
        <f>'BAMAKO POOL-LABOREX'!E8+'BAMAKO POOL-LABOREX'!G8</f>
        <v>109.59</v>
      </c>
      <c r="F7" s="14">
        <f>'BAMAKO POOL-LABOREX'!H8+'BAMAKO POOL-LABOREX'!J8</f>
        <v>44</v>
      </c>
      <c r="G7" s="14">
        <f>'BAMAKO POOL-LABOREX'!I8+'BAMAKO POOL-LABOREX'!K8</f>
        <v>123.64</v>
      </c>
      <c r="H7" s="14">
        <f>'BAMAKO POOL-LABOREX'!L8</f>
        <v>4</v>
      </c>
      <c r="I7" s="14">
        <f>'BAMAKO POOL-LABOREX'!M8</f>
        <v>11.24</v>
      </c>
      <c r="J7" s="14">
        <f>'BAMAKO POOL-LABOREX'!N8</f>
        <v>9</v>
      </c>
      <c r="K7" s="14">
        <f>'BAMAKO POOL-LABOREX'!O8</f>
        <v>25.29</v>
      </c>
      <c r="L7" s="14">
        <f>'BAMAKO POOL-LABOREX'!R8</f>
        <v>12</v>
      </c>
      <c r="M7" s="14">
        <f>'BAMAKO POOL-LABOREX'!S8</f>
        <v>33.72</v>
      </c>
      <c r="N7" s="20">
        <f t="shared" si="0"/>
        <v>108</v>
      </c>
      <c r="O7" s="11">
        <f t="shared" si="1"/>
        <v>303.48</v>
      </c>
      <c r="P7" s="14">
        <f t="shared" si="2"/>
        <v>96</v>
      </c>
      <c r="Q7" s="24">
        <f t="shared" si="3"/>
        <v>269.76</v>
      </c>
      <c r="R7" s="24">
        <f t="shared" si="4"/>
        <v>24</v>
      </c>
    </row>
    <row r="8" spans="1:18">
      <c r="A8" s="11">
        <v>5</v>
      </c>
      <c r="B8" s="12" t="s">
        <v>17</v>
      </c>
      <c r="C8" s="13">
        <v>3.46</v>
      </c>
      <c r="D8" s="14">
        <f>'BAMAKO POOL-LABOREX'!D9+'BAMAKO POOL-LABOREX'!F9</f>
        <v>62</v>
      </c>
      <c r="E8" s="14">
        <f>'BAMAKO POOL-LABOREX'!E9+'BAMAKO POOL-LABOREX'!G9</f>
        <v>214.51999999999998</v>
      </c>
      <c r="F8" s="14">
        <f>'BAMAKO POOL-LABOREX'!H9+'BAMAKO POOL-LABOREX'!J9</f>
        <v>68</v>
      </c>
      <c r="G8" s="14">
        <f>'BAMAKO POOL-LABOREX'!I9+'BAMAKO POOL-LABOREX'!K9</f>
        <v>235.28</v>
      </c>
      <c r="H8" s="14">
        <f>'BAMAKO POOL-LABOREX'!L9</f>
        <v>47</v>
      </c>
      <c r="I8" s="14">
        <f>'BAMAKO POOL-LABOREX'!M9</f>
        <v>162.62</v>
      </c>
      <c r="J8" s="14">
        <f>'BAMAKO POOL-LABOREX'!N9</f>
        <v>65</v>
      </c>
      <c r="K8" s="14">
        <f>'BAMAKO POOL-LABOREX'!O9</f>
        <v>224.9</v>
      </c>
      <c r="L8" s="14">
        <f>'BAMAKO POOL-LABOREX'!R9</f>
        <v>45</v>
      </c>
      <c r="M8" s="14">
        <f>'BAMAKO POOL-LABOREX'!S9</f>
        <v>155.69999999999999</v>
      </c>
      <c r="N8" s="20">
        <f t="shared" si="0"/>
        <v>287</v>
      </c>
      <c r="O8" s="11">
        <f t="shared" si="1"/>
        <v>993.02</v>
      </c>
      <c r="P8" s="14">
        <f t="shared" si="2"/>
        <v>242</v>
      </c>
      <c r="Q8" s="24">
        <f t="shared" si="3"/>
        <v>837.31999999999994</v>
      </c>
      <c r="R8" s="24">
        <f t="shared" si="4"/>
        <v>60.5</v>
      </c>
    </row>
    <row r="9" spans="1:18">
      <c r="A9" s="11">
        <v>6</v>
      </c>
      <c r="B9" s="12" t="s">
        <v>18</v>
      </c>
      <c r="C9" s="13">
        <v>1.06</v>
      </c>
      <c r="D9" s="14">
        <f>'BAMAKO POOL-LABOREX'!D10+'BAMAKO POOL-LABOREX'!F10</f>
        <v>0</v>
      </c>
      <c r="E9" s="14">
        <f>'BAMAKO POOL-LABOREX'!E10+'BAMAKO POOL-LABOREX'!G10</f>
        <v>0</v>
      </c>
      <c r="F9" s="14">
        <f>'BAMAKO POOL-LABOREX'!H10+'BAMAKO POOL-LABOREX'!J10</f>
        <v>0</v>
      </c>
      <c r="G9" s="14">
        <f>'BAMAKO POOL-LABOREX'!I10+'BAMAKO POOL-LABOREX'!K10</f>
        <v>0</v>
      </c>
      <c r="H9" s="14">
        <f>'BAMAKO POOL-LABOREX'!L10</f>
        <v>0</v>
      </c>
      <c r="I9" s="14">
        <f>'BAMAKO POOL-LABOREX'!M10</f>
        <v>0</v>
      </c>
      <c r="J9" s="14">
        <f>'BAMAKO POOL-LABOREX'!N10</f>
        <v>0</v>
      </c>
      <c r="K9" s="14">
        <f>'BAMAKO POOL-LABOREX'!O10</f>
        <v>0</v>
      </c>
      <c r="L9" s="14">
        <f>'BAMAKO POOL-LABOREX'!R10</f>
        <v>0</v>
      </c>
      <c r="M9" s="14">
        <f>'BAMAKO POOL-LABOREX'!S10</f>
        <v>0</v>
      </c>
      <c r="N9" s="20">
        <f t="shared" si="0"/>
        <v>0</v>
      </c>
      <c r="O9" s="11">
        <f t="shared" si="1"/>
        <v>0</v>
      </c>
      <c r="P9" s="14">
        <f t="shared" si="2"/>
        <v>0</v>
      </c>
      <c r="Q9" s="24">
        <f t="shared" si="3"/>
        <v>0</v>
      </c>
      <c r="R9" s="24">
        <f t="shared" si="4"/>
        <v>0</v>
      </c>
    </row>
    <row r="10" spans="1:18">
      <c r="A10" s="11">
        <v>7</v>
      </c>
      <c r="B10" s="12" t="s">
        <v>19</v>
      </c>
      <c r="C10" s="13">
        <v>3.63</v>
      </c>
      <c r="D10" s="14">
        <f>'BAMAKO POOL-LABOREX'!D11+'BAMAKO POOL-LABOREX'!F11</f>
        <v>0</v>
      </c>
      <c r="E10" s="14">
        <f>'BAMAKO POOL-LABOREX'!E11+'BAMAKO POOL-LABOREX'!G11</f>
        <v>0</v>
      </c>
      <c r="F10" s="14">
        <f>'BAMAKO POOL-LABOREX'!H11+'BAMAKO POOL-LABOREX'!J11</f>
        <v>0</v>
      </c>
      <c r="G10" s="14">
        <f>'BAMAKO POOL-LABOREX'!I11+'BAMAKO POOL-LABOREX'!K11</f>
        <v>0</v>
      </c>
      <c r="H10" s="14">
        <f>'BAMAKO POOL-LABOREX'!L11</f>
        <v>0</v>
      </c>
      <c r="I10" s="14">
        <f>'BAMAKO POOL-LABOREX'!M11</f>
        <v>0</v>
      </c>
      <c r="J10" s="14">
        <f>'BAMAKO POOL-LABOREX'!N11</f>
        <v>0</v>
      </c>
      <c r="K10" s="14">
        <f>'BAMAKO POOL-LABOREX'!O11</f>
        <v>0</v>
      </c>
      <c r="L10" s="14">
        <f>'BAMAKO POOL-LABOREX'!R11</f>
        <v>0</v>
      </c>
      <c r="M10" s="14">
        <f>'BAMAKO POOL-LABOREX'!S11</f>
        <v>0</v>
      </c>
      <c r="N10" s="20">
        <f t="shared" si="0"/>
        <v>0</v>
      </c>
      <c r="O10" s="11">
        <f t="shared" si="1"/>
        <v>0</v>
      </c>
      <c r="P10" s="14">
        <f t="shared" si="2"/>
        <v>0</v>
      </c>
      <c r="Q10" s="24">
        <f t="shared" si="3"/>
        <v>0</v>
      </c>
      <c r="R10" s="24">
        <f t="shared" si="4"/>
        <v>0</v>
      </c>
    </row>
    <row r="11" spans="1:18">
      <c r="A11" s="11">
        <v>8</v>
      </c>
      <c r="B11" s="12" t="s">
        <v>20</v>
      </c>
      <c r="C11" s="13">
        <v>0.85</v>
      </c>
      <c r="D11" s="14">
        <f>'BAMAKO POOL-LABOREX'!D12+'BAMAKO POOL-LABOREX'!F12</f>
        <v>0</v>
      </c>
      <c r="E11" s="14">
        <f>'BAMAKO POOL-LABOREX'!E12+'BAMAKO POOL-LABOREX'!G12</f>
        <v>0</v>
      </c>
      <c r="F11" s="14">
        <f>'BAMAKO POOL-LABOREX'!H12+'BAMAKO POOL-LABOREX'!J12</f>
        <v>0</v>
      </c>
      <c r="G11" s="14">
        <f>'BAMAKO POOL-LABOREX'!I12+'BAMAKO POOL-LABOREX'!K12</f>
        <v>0</v>
      </c>
      <c r="H11" s="14">
        <f>'BAMAKO POOL-LABOREX'!L12</f>
        <v>0</v>
      </c>
      <c r="I11" s="14">
        <f>'BAMAKO POOL-LABOREX'!M12</f>
        <v>0</v>
      </c>
      <c r="J11" s="14">
        <f>'BAMAKO POOL-LABOREX'!N12</f>
        <v>0</v>
      </c>
      <c r="K11" s="14">
        <f>'BAMAKO POOL-LABOREX'!O12</f>
        <v>0</v>
      </c>
      <c r="L11" s="14">
        <f>'BAMAKO POOL-LABOREX'!R12</f>
        <v>0</v>
      </c>
      <c r="M11" s="14">
        <f>'BAMAKO POOL-LABOREX'!S12</f>
        <v>0</v>
      </c>
      <c r="N11" s="20">
        <f t="shared" si="0"/>
        <v>0</v>
      </c>
      <c r="O11" s="11">
        <f t="shared" si="1"/>
        <v>0</v>
      </c>
      <c r="P11" s="14">
        <f t="shared" si="2"/>
        <v>0</v>
      </c>
      <c r="Q11" s="24">
        <f t="shared" si="3"/>
        <v>0</v>
      </c>
      <c r="R11" s="24">
        <f t="shared" si="4"/>
        <v>0</v>
      </c>
    </row>
    <row r="12" spans="1:18">
      <c r="A12" s="11">
        <v>9</v>
      </c>
      <c r="B12" s="12" t="s">
        <v>21</v>
      </c>
      <c r="C12" s="13">
        <v>1.98</v>
      </c>
      <c r="D12" s="14">
        <f>'BAMAKO POOL-LABOREX'!D13+'BAMAKO POOL-LABOREX'!F13</f>
        <v>134</v>
      </c>
      <c r="E12" s="14">
        <f>'BAMAKO POOL-LABOREX'!E13+'BAMAKO POOL-LABOREX'!G13</f>
        <v>265.32</v>
      </c>
      <c r="F12" s="14">
        <f>'BAMAKO POOL-LABOREX'!H13+'BAMAKO POOL-LABOREX'!J13</f>
        <v>147</v>
      </c>
      <c r="G12" s="14">
        <f>'BAMAKO POOL-LABOREX'!I13+'BAMAKO POOL-LABOREX'!K13</f>
        <v>291.05999999999995</v>
      </c>
      <c r="H12" s="14">
        <f>'BAMAKO POOL-LABOREX'!L13</f>
        <v>140</v>
      </c>
      <c r="I12" s="14">
        <f>'BAMAKO POOL-LABOREX'!M13</f>
        <v>277.2</v>
      </c>
      <c r="J12" s="14">
        <f>'BAMAKO POOL-LABOREX'!N13</f>
        <v>297</v>
      </c>
      <c r="K12" s="14">
        <f>'BAMAKO POOL-LABOREX'!O13</f>
        <v>588.05999999999995</v>
      </c>
      <c r="L12" s="14">
        <f>'BAMAKO POOL-LABOREX'!R13</f>
        <v>117</v>
      </c>
      <c r="M12" s="14">
        <f>'BAMAKO POOL-LABOREX'!S13</f>
        <v>231.66</v>
      </c>
      <c r="N12" s="20">
        <f t="shared" si="0"/>
        <v>835</v>
      </c>
      <c r="O12" s="11">
        <f t="shared" si="1"/>
        <v>1653.3</v>
      </c>
      <c r="P12" s="14">
        <f t="shared" si="2"/>
        <v>718</v>
      </c>
      <c r="Q12" s="24">
        <f t="shared" si="3"/>
        <v>1421.64</v>
      </c>
      <c r="R12" s="24">
        <f t="shared" si="4"/>
        <v>179.5</v>
      </c>
    </row>
    <row r="13" spans="1:18">
      <c r="A13" s="11">
        <v>10</v>
      </c>
      <c r="B13" s="15" t="s">
        <v>22</v>
      </c>
      <c r="C13" s="13">
        <v>1.98</v>
      </c>
      <c r="D13" s="14">
        <f>'BAMAKO POOL-LABOREX'!D14+'BAMAKO POOL-LABOREX'!F14</f>
        <v>18</v>
      </c>
      <c r="E13" s="14">
        <f>'BAMAKO POOL-LABOREX'!E14+'BAMAKO POOL-LABOREX'!G14</f>
        <v>35.64</v>
      </c>
      <c r="F13" s="14">
        <f>'BAMAKO POOL-LABOREX'!H14+'BAMAKO POOL-LABOREX'!J14</f>
        <v>22</v>
      </c>
      <c r="G13" s="14">
        <f>'BAMAKO POOL-LABOREX'!I14+'BAMAKO POOL-LABOREX'!K14</f>
        <v>43.56</v>
      </c>
      <c r="H13" s="14">
        <f>'BAMAKO POOL-LABOREX'!L14</f>
        <v>35</v>
      </c>
      <c r="I13" s="14">
        <f>'BAMAKO POOL-LABOREX'!M14</f>
        <v>69.3</v>
      </c>
      <c r="J13" s="14">
        <f>'BAMAKO POOL-LABOREX'!N14</f>
        <v>66</v>
      </c>
      <c r="K13" s="14">
        <f>'BAMAKO POOL-LABOREX'!O14</f>
        <v>130.68</v>
      </c>
      <c r="L13" s="14">
        <f>'BAMAKO POOL-LABOREX'!R14</f>
        <v>21</v>
      </c>
      <c r="M13" s="14">
        <f>'BAMAKO POOL-LABOREX'!S14</f>
        <v>41.58</v>
      </c>
      <c r="N13" s="20">
        <f t="shared" si="0"/>
        <v>162</v>
      </c>
      <c r="O13" s="11">
        <f t="shared" si="1"/>
        <v>320.76</v>
      </c>
      <c r="P13" s="14">
        <f t="shared" si="2"/>
        <v>141</v>
      </c>
      <c r="Q13" s="24">
        <f t="shared" si="3"/>
        <v>279.18</v>
      </c>
      <c r="R13" s="24">
        <f t="shared" si="4"/>
        <v>35.25</v>
      </c>
    </row>
    <row r="14" spans="1:18">
      <c r="A14" s="11">
        <v>11</v>
      </c>
      <c r="B14" s="12" t="s">
        <v>23</v>
      </c>
      <c r="C14" s="13">
        <v>4.6900000000000004</v>
      </c>
      <c r="D14" s="14">
        <f>'BAMAKO POOL-LABOREX'!D15+'BAMAKO POOL-LABOREX'!F15</f>
        <v>0</v>
      </c>
      <c r="E14" s="14">
        <f>'BAMAKO POOL-LABOREX'!E15+'BAMAKO POOL-LABOREX'!G15</f>
        <v>0</v>
      </c>
      <c r="F14" s="14">
        <f>'BAMAKO POOL-LABOREX'!H15+'BAMAKO POOL-LABOREX'!J15</f>
        <v>0</v>
      </c>
      <c r="G14" s="14">
        <f>'BAMAKO POOL-LABOREX'!I15+'BAMAKO POOL-LABOREX'!K15</f>
        <v>0</v>
      </c>
      <c r="H14" s="14">
        <f>'BAMAKO POOL-LABOREX'!L15</f>
        <v>0</v>
      </c>
      <c r="I14" s="14">
        <f>'BAMAKO POOL-LABOREX'!M15</f>
        <v>0</v>
      </c>
      <c r="J14" s="14">
        <f>'BAMAKO POOL-LABOREX'!N15</f>
        <v>0</v>
      </c>
      <c r="K14" s="14">
        <f>'BAMAKO POOL-LABOREX'!O15</f>
        <v>0</v>
      </c>
      <c r="L14" s="14">
        <f>'BAMAKO POOL-LABOREX'!R15</f>
        <v>0</v>
      </c>
      <c r="M14" s="14">
        <f>'BAMAKO POOL-LABOREX'!S15</f>
        <v>0</v>
      </c>
      <c r="N14" s="20">
        <f t="shared" si="0"/>
        <v>0</v>
      </c>
      <c r="O14" s="11">
        <f t="shared" si="1"/>
        <v>0</v>
      </c>
      <c r="P14" s="14">
        <f t="shared" si="2"/>
        <v>0</v>
      </c>
      <c r="Q14" s="24">
        <f t="shared" si="3"/>
        <v>0</v>
      </c>
      <c r="R14" s="24">
        <f t="shared" si="4"/>
        <v>0</v>
      </c>
    </row>
    <row r="15" spans="1:18">
      <c r="A15" s="11">
        <v>12</v>
      </c>
      <c r="B15" s="12" t="s">
        <v>24</v>
      </c>
      <c r="C15" s="13">
        <v>2.9</v>
      </c>
      <c r="D15" s="14">
        <f>'BAMAKO POOL-LABOREX'!D16+'BAMAKO POOL-LABOREX'!F16</f>
        <v>0</v>
      </c>
      <c r="E15" s="14">
        <f>'BAMAKO POOL-LABOREX'!E16+'BAMAKO POOL-LABOREX'!G16</f>
        <v>0</v>
      </c>
      <c r="F15" s="14">
        <f>'BAMAKO POOL-LABOREX'!H16+'BAMAKO POOL-LABOREX'!J16</f>
        <v>0</v>
      </c>
      <c r="G15" s="14">
        <f>'BAMAKO POOL-LABOREX'!I16+'BAMAKO POOL-LABOREX'!K16</f>
        <v>0</v>
      </c>
      <c r="H15" s="14">
        <f>'BAMAKO POOL-LABOREX'!L16</f>
        <v>0</v>
      </c>
      <c r="I15" s="14">
        <f>'BAMAKO POOL-LABOREX'!M16</f>
        <v>0</v>
      </c>
      <c r="J15" s="14">
        <f>'BAMAKO POOL-LABOREX'!N16</f>
        <v>0</v>
      </c>
      <c r="K15" s="14">
        <f>'BAMAKO POOL-LABOREX'!O16</f>
        <v>0</v>
      </c>
      <c r="L15" s="14">
        <f>'BAMAKO POOL-LABOREX'!R16</f>
        <v>0</v>
      </c>
      <c r="M15" s="14">
        <f>'BAMAKO POOL-LABOREX'!S16</f>
        <v>0</v>
      </c>
      <c r="N15" s="20">
        <f t="shared" si="0"/>
        <v>0</v>
      </c>
      <c r="O15" s="11">
        <f t="shared" si="1"/>
        <v>0</v>
      </c>
      <c r="P15" s="14">
        <f t="shared" si="2"/>
        <v>0</v>
      </c>
      <c r="Q15" s="24">
        <f t="shared" si="3"/>
        <v>0</v>
      </c>
      <c r="R15" s="24">
        <f t="shared" si="4"/>
        <v>0</v>
      </c>
    </row>
    <row r="16" spans="1:18">
      <c r="A16" s="11">
        <v>13</v>
      </c>
      <c r="B16" s="12" t="s">
        <v>55</v>
      </c>
      <c r="C16" s="13">
        <v>1.9</v>
      </c>
      <c r="D16" s="14">
        <f>'BAMAKO POOL-LABOREX'!D17+'BAMAKO POOL-LABOREX'!F17</f>
        <v>0</v>
      </c>
      <c r="E16" s="14">
        <f>'BAMAKO POOL-LABOREX'!E17+'BAMAKO POOL-LABOREX'!G17</f>
        <v>0</v>
      </c>
      <c r="F16" s="14">
        <f>'BAMAKO POOL-LABOREX'!H17+'BAMAKO POOL-LABOREX'!J17</f>
        <v>0</v>
      </c>
      <c r="G16" s="14">
        <f>'BAMAKO POOL-LABOREX'!I17+'BAMAKO POOL-LABOREX'!K17</f>
        <v>0</v>
      </c>
      <c r="H16" s="14">
        <f>'BAMAKO POOL-LABOREX'!L17</f>
        <v>0</v>
      </c>
      <c r="I16" s="14">
        <f>'BAMAKO POOL-LABOREX'!M17</f>
        <v>0</v>
      </c>
      <c r="J16" s="14">
        <f>'BAMAKO POOL-LABOREX'!N17</f>
        <v>0</v>
      </c>
      <c r="K16" s="14">
        <f>'BAMAKO POOL-LABOREX'!O17</f>
        <v>0</v>
      </c>
      <c r="L16" s="14">
        <f>'BAMAKO POOL-LABOREX'!R17</f>
        <v>0</v>
      </c>
      <c r="M16" s="14">
        <f>'BAMAKO POOL-LABOREX'!S17</f>
        <v>0</v>
      </c>
      <c r="N16" s="20">
        <f>D16+F16+H16+J16+L16</f>
        <v>0</v>
      </c>
      <c r="O16" s="11">
        <f>N16*C16</f>
        <v>0</v>
      </c>
      <c r="P16" s="14">
        <f>D16+F16+H16+J16</f>
        <v>0</v>
      </c>
      <c r="Q16" s="24">
        <f>P16*C16</f>
        <v>0</v>
      </c>
      <c r="R16" s="24">
        <f>P16/4</f>
        <v>0</v>
      </c>
    </row>
    <row r="17" spans="1:23">
      <c r="A17" s="11">
        <v>14</v>
      </c>
      <c r="B17" s="12" t="s">
        <v>56</v>
      </c>
      <c r="C17" s="13">
        <v>2.4</v>
      </c>
      <c r="D17" s="14">
        <f>'BAMAKO POOL-LABOREX'!D18+'BAMAKO POOL-LABOREX'!F18</f>
        <v>0</v>
      </c>
      <c r="E17" s="14">
        <f>'BAMAKO POOL-LABOREX'!E18+'BAMAKO POOL-LABOREX'!G18</f>
        <v>0</v>
      </c>
      <c r="F17" s="14">
        <f>'BAMAKO POOL-LABOREX'!H18+'BAMAKO POOL-LABOREX'!J18</f>
        <v>0</v>
      </c>
      <c r="G17" s="14">
        <f>'BAMAKO POOL-LABOREX'!I18+'BAMAKO POOL-LABOREX'!K18</f>
        <v>0</v>
      </c>
      <c r="H17" s="14">
        <f>'BAMAKO POOL-LABOREX'!L18</f>
        <v>0</v>
      </c>
      <c r="I17" s="14">
        <f>'BAMAKO POOL-LABOREX'!M18</f>
        <v>0</v>
      </c>
      <c r="J17" s="14">
        <f>'BAMAKO POOL-LABOREX'!N18</f>
        <v>0</v>
      </c>
      <c r="K17" s="14">
        <f>'BAMAKO POOL-LABOREX'!O18</f>
        <v>0</v>
      </c>
      <c r="L17" s="14">
        <f>'BAMAKO POOL-LABOREX'!R18</f>
        <v>0</v>
      </c>
      <c r="M17" s="14">
        <f>'BAMAKO POOL-LABOREX'!S18</f>
        <v>0</v>
      </c>
      <c r="N17" s="20">
        <f>D17+F17+H17+J17+L17</f>
        <v>0</v>
      </c>
      <c r="O17" s="11">
        <f>N17*C17</f>
        <v>0</v>
      </c>
      <c r="P17" s="14">
        <f>D17+F17+H17+J17</f>
        <v>0</v>
      </c>
      <c r="Q17" s="24">
        <f>P17*C17</f>
        <v>0</v>
      </c>
      <c r="R17" s="24">
        <f>P17/4</f>
        <v>0</v>
      </c>
    </row>
    <row r="18" spans="1:23">
      <c r="A18" s="11">
        <v>13</v>
      </c>
      <c r="B18" s="12" t="s">
        <v>25</v>
      </c>
      <c r="C18" s="13">
        <v>1.5</v>
      </c>
      <c r="D18" s="14">
        <f>'BAMAKO POOL-LABOREX'!D19+'BAMAKO POOL-LABOREX'!F19</f>
        <v>0</v>
      </c>
      <c r="E18" s="14">
        <f>'BAMAKO POOL-LABOREX'!E19+'BAMAKO POOL-LABOREX'!G19</f>
        <v>0</v>
      </c>
      <c r="F18" s="14">
        <f>'BAMAKO POOL-LABOREX'!H19+'BAMAKO POOL-LABOREX'!J19</f>
        <v>0</v>
      </c>
      <c r="G18" s="14">
        <f>'BAMAKO POOL-LABOREX'!I19+'BAMAKO POOL-LABOREX'!K19</f>
        <v>0</v>
      </c>
      <c r="H18" s="14">
        <f>'BAMAKO POOL-LABOREX'!L19</f>
        <v>0</v>
      </c>
      <c r="I18" s="14">
        <f>'BAMAKO POOL-LABOREX'!M19</f>
        <v>0</v>
      </c>
      <c r="J18" s="14">
        <f>'BAMAKO POOL-LABOREX'!N19</f>
        <v>0</v>
      </c>
      <c r="K18" s="14">
        <f>'BAMAKO POOL-LABOREX'!O19</f>
        <v>0</v>
      </c>
      <c r="L18" s="14">
        <f>'BAMAKO POOL-LABOREX'!R19</f>
        <v>0</v>
      </c>
      <c r="M18" s="14">
        <f>'BAMAKO POOL-LABOREX'!S19</f>
        <v>0</v>
      </c>
      <c r="N18" s="20">
        <f>D18+F18+H18+J18+L18</f>
        <v>0</v>
      </c>
      <c r="O18" s="11">
        <f>N18*C18</f>
        <v>0</v>
      </c>
      <c r="P18" s="14">
        <f>D18+F18+H18+J18</f>
        <v>0</v>
      </c>
      <c r="Q18" s="24">
        <f>P18*C18</f>
        <v>0</v>
      </c>
      <c r="R18" s="24">
        <f>P18/4</f>
        <v>0</v>
      </c>
    </row>
    <row r="19" spans="1:23" s="22" customFormat="1">
      <c r="A19" s="11">
        <v>16</v>
      </c>
      <c r="B19" s="12" t="s">
        <v>58</v>
      </c>
      <c r="C19" s="13">
        <v>5.38</v>
      </c>
      <c r="D19" s="14">
        <f>'BAMAKO POOL-LABOREX'!D20+'BAMAKO POOL-LABOREX'!F20</f>
        <v>35</v>
      </c>
      <c r="E19" s="14">
        <f>'BAMAKO POOL-LABOREX'!E20+'BAMAKO POOL-LABOREX'!G20</f>
        <v>185.49999999999997</v>
      </c>
      <c r="F19" s="14">
        <f>'BAMAKO POOL-LABOREX'!H20+'BAMAKO POOL-LABOREX'!J20</f>
        <v>4</v>
      </c>
      <c r="G19" s="14">
        <f>'BAMAKO POOL-LABOREX'!I20+'BAMAKO POOL-LABOREX'!K20</f>
        <v>21.2</v>
      </c>
      <c r="H19" s="14">
        <f>'BAMAKO POOL-LABOREX'!L20</f>
        <v>23</v>
      </c>
      <c r="I19" s="14">
        <f>'BAMAKO POOL-LABOREX'!M20</f>
        <v>121.89999999999999</v>
      </c>
      <c r="J19" s="14">
        <f>'BAMAKO POOL-LABOREX'!N20</f>
        <v>12</v>
      </c>
      <c r="K19" s="14">
        <f>'BAMAKO POOL-LABOREX'!O20</f>
        <v>63.599999999999994</v>
      </c>
      <c r="L19" s="14">
        <f>'BAMAKO POOL-LABOREX'!R20</f>
        <v>2</v>
      </c>
      <c r="M19" s="14">
        <f>'BAMAKO POOL-LABOREX'!S20</f>
        <v>10.6</v>
      </c>
      <c r="N19" s="20">
        <f>D19+F19+H19+J19+L19</f>
        <v>76</v>
      </c>
      <c r="O19" s="11">
        <f>N19*C19</f>
        <v>408.88</v>
      </c>
      <c r="P19" s="14">
        <f>D19+F19+H19+J19</f>
        <v>74</v>
      </c>
      <c r="Q19" s="24">
        <f>P19*C19</f>
        <v>398.12</v>
      </c>
      <c r="R19" s="24">
        <f>P19/4</f>
        <v>18.5</v>
      </c>
      <c r="S19" s="61"/>
      <c r="T19" s="62"/>
      <c r="U19" s="62"/>
      <c r="V19" s="62"/>
      <c r="W19" s="62"/>
    </row>
    <row r="20" spans="1:23" s="22" customFormat="1">
      <c r="A20" s="11">
        <v>17</v>
      </c>
      <c r="B20" s="12" t="s">
        <v>59</v>
      </c>
      <c r="C20" s="13">
        <v>2</v>
      </c>
      <c r="D20" s="14">
        <f>'BAMAKO POOL-LABOREX'!D21+'BAMAKO POOL-LABOREX'!F21</f>
        <v>0</v>
      </c>
      <c r="E20" s="14">
        <f>'BAMAKO POOL-LABOREX'!E21+'BAMAKO POOL-LABOREX'!G21</f>
        <v>0</v>
      </c>
      <c r="F20" s="14">
        <f>'BAMAKO POOL-LABOREX'!H21+'BAMAKO POOL-LABOREX'!J21</f>
        <v>0</v>
      </c>
      <c r="G20" s="14">
        <f>'BAMAKO POOL-LABOREX'!I21+'BAMAKO POOL-LABOREX'!K21</f>
        <v>0</v>
      </c>
      <c r="H20" s="14">
        <f>'BAMAKO POOL-LABOREX'!L21</f>
        <v>0</v>
      </c>
      <c r="I20" s="14">
        <f>'BAMAKO POOL-LABOREX'!M21</f>
        <v>0</v>
      </c>
      <c r="J20" s="14">
        <f>'BAMAKO POOL-LABOREX'!N21</f>
        <v>0</v>
      </c>
      <c r="K20" s="14">
        <f>'BAMAKO POOL-LABOREX'!O21</f>
        <v>0</v>
      </c>
      <c r="L20" s="14">
        <f>'BAMAKO POOL-LABOREX'!R21</f>
        <v>0</v>
      </c>
      <c r="M20" s="14">
        <f>'BAMAKO POOL-LABOREX'!S21</f>
        <v>0</v>
      </c>
      <c r="N20" s="20">
        <f>D20+F20+H20+J20+L20</f>
        <v>0</v>
      </c>
      <c r="O20" s="11">
        <f>N20*C20</f>
        <v>0</v>
      </c>
      <c r="P20" s="14">
        <f>D20+F20+H20+J20</f>
        <v>0</v>
      </c>
      <c r="Q20" s="24">
        <f>P20*C20</f>
        <v>0</v>
      </c>
      <c r="R20" s="24">
        <f>P20/4</f>
        <v>0</v>
      </c>
      <c r="S20" s="61"/>
      <c r="T20" s="62"/>
      <c r="U20" s="62"/>
      <c r="V20" s="62"/>
      <c r="W20" s="62"/>
    </row>
    <row r="21" spans="1:23">
      <c r="A21" s="16"/>
      <c r="B21" s="17" t="s">
        <v>6</v>
      </c>
      <c r="C21" s="17"/>
      <c r="D21" s="17"/>
      <c r="E21" s="17">
        <f>SUM(E4:E18)</f>
        <v>1262.94</v>
      </c>
      <c r="F21" s="17"/>
      <c r="G21" s="17">
        <f>SUM(G4:G18)</f>
        <v>1990.96</v>
      </c>
      <c r="H21" s="17"/>
      <c r="I21" s="17">
        <f>SUM(I4:I18)</f>
        <v>2095.9499999999998</v>
      </c>
      <c r="J21" s="17"/>
      <c r="K21" s="17">
        <f>SUM(K4:K18)</f>
        <v>4708.84</v>
      </c>
      <c r="L21" s="17"/>
      <c r="M21" s="17">
        <f>SUM(M4:M18)</f>
        <v>2056.3700000000003</v>
      </c>
      <c r="N21" s="17"/>
      <c r="O21" s="17">
        <f>SUM(E21+G21+I21+K21+M21)</f>
        <v>12115.060000000001</v>
      </c>
      <c r="P21" s="17"/>
      <c r="Q21" s="25">
        <f>SUM(Q4:Q18)</f>
        <v>10077.85</v>
      </c>
      <c r="R21" s="58">
        <f>SUM(R4:R18)</f>
        <v>1897</v>
      </c>
    </row>
  </sheetData>
  <mergeCells count="8">
    <mergeCell ref="N2:O2"/>
    <mergeCell ref="P2:Q2"/>
    <mergeCell ref="R2:R3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zoomScale="81" zoomScaleNormal="81" workbookViewId="0">
      <pane xSplit="2" topLeftCell="D1" activePane="topRight" state="frozen"/>
      <selection pane="topRight" activeCell="I12" sqref="I12"/>
    </sheetView>
  </sheetViews>
  <sheetFormatPr baseColWidth="10" defaultColWidth="14.453125" defaultRowHeight="14.5"/>
  <cols>
    <col min="1" max="1" width="11.453125" style="22" customWidth="1"/>
    <col min="2" max="2" width="22.54296875" style="22" customWidth="1"/>
    <col min="3" max="3" width="15.1796875" style="22" customWidth="1"/>
    <col min="4" max="26" width="9.54296875" style="22" customWidth="1"/>
    <col min="27" max="27" width="8.7265625" style="22" customWidth="1"/>
    <col min="28" max="16384" width="14.453125" style="22"/>
  </cols>
  <sheetData>
    <row r="1" spans="1:2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0</v>
      </c>
      <c r="B2" s="2">
        <v>45962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" customHeight="1">
      <c r="A3" s="4"/>
      <c r="B3" s="5"/>
      <c r="C3" s="28"/>
      <c r="D3" s="104" t="s">
        <v>1</v>
      </c>
      <c r="E3" s="104"/>
      <c r="F3" s="104" t="s">
        <v>44</v>
      </c>
      <c r="G3" s="104"/>
      <c r="H3" s="29" t="s">
        <v>33</v>
      </c>
      <c r="I3" s="29"/>
      <c r="J3" s="29" t="s">
        <v>41</v>
      </c>
      <c r="K3" s="29"/>
      <c r="L3" s="29" t="s">
        <v>45</v>
      </c>
      <c r="M3" s="29"/>
      <c r="N3" s="29" t="s">
        <v>43</v>
      </c>
      <c r="O3" s="29"/>
      <c r="P3" s="105" t="s">
        <v>2</v>
      </c>
      <c r="Q3" s="105"/>
      <c r="R3" s="105" t="s">
        <v>3</v>
      </c>
      <c r="S3" s="106"/>
      <c r="T3" s="107" t="s">
        <v>4</v>
      </c>
      <c r="U3" s="107"/>
      <c r="V3" s="103" t="s">
        <v>5</v>
      </c>
      <c r="W3" s="77"/>
      <c r="X3" s="71" t="s">
        <v>6</v>
      </c>
      <c r="Y3" s="72"/>
      <c r="Z3" s="3"/>
    </row>
    <row r="4" spans="1:27">
      <c r="A4" s="8"/>
      <c r="B4" s="9" t="s">
        <v>7</v>
      </c>
      <c r="C4" s="9" t="s">
        <v>8</v>
      </c>
      <c r="D4" s="30" t="s">
        <v>9</v>
      </c>
      <c r="E4" s="30" t="s">
        <v>10</v>
      </c>
      <c r="F4" s="30" t="s">
        <v>9</v>
      </c>
      <c r="G4" s="30" t="s">
        <v>10</v>
      </c>
      <c r="H4" s="30" t="s">
        <v>9</v>
      </c>
      <c r="I4" s="30" t="s">
        <v>10</v>
      </c>
      <c r="J4" s="30" t="s">
        <v>9</v>
      </c>
      <c r="K4" s="30" t="s">
        <v>10</v>
      </c>
      <c r="L4" s="30" t="s">
        <v>9</v>
      </c>
      <c r="M4" s="30" t="s">
        <v>10</v>
      </c>
      <c r="N4" s="30" t="s">
        <v>9</v>
      </c>
      <c r="O4" s="30" t="s">
        <v>10</v>
      </c>
      <c r="P4" s="33" t="s">
        <v>11</v>
      </c>
      <c r="Q4" s="35" t="s">
        <v>12</v>
      </c>
      <c r="R4" s="33" t="s">
        <v>11</v>
      </c>
      <c r="S4" s="35" t="s">
        <v>12</v>
      </c>
      <c r="T4" s="33" t="s">
        <v>11</v>
      </c>
      <c r="U4" s="35" t="s">
        <v>12</v>
      </c>
      <c r="V4" s="18" t="s">
        <v>11</v>
      </c>
      <c r="W4" s="19" t="s">
        <v>12</v>
      </c>
      <c r="X4" s="18" t="s">
        <v>11</v>
      </c>
      <c r="Y4" s="19" t="s">
        <v>12</v>
      </c>
      <c r="Z4" s="3"/>
      <c r="AA4" s="36"/>
    </row>
    <row r="5" spans="1:27">
      <c r="A5" s="11">
        <v>1</v>
      </c>
      <c r="B5" s="12" t="s">
        <v>13</v>
      </c>
      <c r="C5" s="13">
        <v>0.99</v>
      </c>
      <c r="D5" s="14">
        <v>0</v>
      </c>
      <c r="E5" s="11">
        <f>D5*C5</f>
        <v>0</v>
      </c>
      <c r="F5" s="11">
        <v>140</v>
      </c>
      <c r="G5" s="11">
        <f>C5*F5</f>
        <v>138.6</v>
      </c>
      <c r="H5" s="11">
        <v>0</v>
      </c>
      <c r="I5" s="11">
        <f>H5*C5</f>
        <v>0</v>
      </c>
      <c r="J5" s="11">
        <v>0</v>
      </c>
      <c r="K5" s="11">
        <f>J5*C5</f>
        <v>0</v>
      </c>
      <c r="L5" s="11">
        <v>1200</v>
      </c>
      <c r="M5" s="11">
        <f>L5*C5</f>
        <v>1188</v>
      </c>
      <c r="N5" s="11">
        <v>0</v>
      </c>
      <c r="O5" s="11">
        <f>C5*N5</f>
        <v>0</v>
      </c>
      <c r="P5" s="11">
        <v>480</v>
      </c>
      <c r="Q5" s="11">
        <f>P5*C5</f>
        <v>475.2</v>
      </c>
      <c r="R5" s="11">
        <v>0</v>
      </c>
      <c r="S5" s="11">
        <f>R5*C5</f>
        <v>0</v>
      </c>
      <c r="T5" s="11">
        <v>0</v>
      </c>
      <c r="U5" s="11">
        <f>T5*C5</f>
        <v>0</v>
      </c>
      <c r="V5" s="11">
        <v>0</v>
      </c>
      <c r="W5" s="11">
        <f t="shared" ref="W5:W19" si="0">V5*C5</f>
        <v>0</v>
      </c>
      <c r="X5" s="20">
        <f>D5+F5+H5+J5+L5+N5+P5+R5+T5+V5</f>
        <v>1820</v>
      </c>
      <c r="Y5" s="11">
        <f>X5*C5</f>
        <v>1801.8</v>
      </c>
      <c r="Z5" s="3"/>
      <c r="AA5" s="36"/>
    </row>
    <row r="6" spans="1:27">
      <c r="A6" s="11">
        <v>2</v>
      </c>
      <c r="B6" s="12" t="s">
        <v>14</v>
      </c>
      <c r="C6" s="13">
        <v>2.29</v>
      </c>
      <c r="D6" s="14">
        <v>0</v>
      </c>
      <c r="E6" s="11">
        <f t="shared" ref="E6:E19" si="1">D6*C6</f>
        <v>0</v>
      </c>
      <c r="F6" s="11">
        <v>14</v>
      </c>
      <c r="G6" s="11">
        <f t="shared" ref="G6:G19" si="2">C6*F6</f>
        <v>32.06</v>
      </c>
      <c r="H6" s="11">
        <v>0</v>
      </c>
      <c r="I6" s="11">
        <f t="shared" ref="I6:I21" si="3">H6*C6</f>
        <v>0</v>
      </c>
      <c r="J6" s="11">
        <v>0</v>
      </c>
      <c r="K6" s="11">
        <f t="shared" ref="K6:K21" si="4">J6*C6</f>
        <v>0</v>
      </c>
      <c r="L6" s="11">
        <v>0</v>
      </c>
      <c r="M6" s="11">
        <f t="shared" ref="M6:M20" si="5">L6*C6</f>
        <v>0</v>
      </c>
      <c r="N6" s="11">
        <v>0</v>
      </c>
      <c r="O6" s="11">
        <f t="shared" ref="O6:O19" si="6">C6*N6</f>
        <v>0</v>
      </c>
      <c r="P6" s="11">
        <v>0</v>
      </c>
      <c r="Q6" s="11">
        <f t="shared" ref="Q6:Q21" si="7">P6*C6</f>
        <v>0</v>
      </c>
      <c r="R6" s="11">
        <v>0</v>
      </c>
      <c r="S6" s="11">
        <f t="shared" ref="S6:S21" si="8">R6*C6</f>
        <v>0</v>
      </c>
      <c r="T6" s="11">
        <v>0</v>
      </c>
      <c r="U6" s="11">
        <f t="shared" ref="U6:U21" si="9">T6*C6</f>
        <v>0</v>
      </c>
      <c r="V6" s="11">
        <v>0</v>
      </c>
      <c r="W6" s="11">
        <f t="shared" si="0"/>
        <v>0</v>
      </c>
      <c r="X6" s="20">
        <f>D6+F6+H6+J6+L6+N6+P6+R6+T6+V6</f>
        <v>14</v>
      </c>
      <c r="Y6" s="11">
        <f t="shared" ref="Y6:Y19" si="10">X6*C6</f>
        <v>32.06</v>
      </c>
      <c r="Z6" s="3"/>
      <c r="AA6" s="36"/>
    </row>
    <row r="7" spans="1:27">
      <c r="A7" s="11">
        <v>3</v>
      </c>
      <c r="B7" s="12" t="s">
        <v>15</v>
      </c>
      <c r="C7" s="13">
        <v>3.66</v>
      </c>
      <c r="D7" s="14">
        <v>65</v>
      </c>
      <c r="E7" s="11">
        <f>D7*C7</f>
        <v>237.9</v>
      </c>
      <c r="F7" s="11">
        <v>0</v>
      </c>
      <c r="G7" s="11">
        <f t="shared" si="2"/>
        <v>0</v>
      </c>
      <c r="H7" s="11">
        <v>24</v>
      </c>
      <c r="I7" s="11">
        <f t="shared" si="3"/>
        <v>87.84</v>
      </c>
      <c r="J7" s="11">
        <v>0</v>
      </c>
      <c r="K7" s="11">
        <f t="shared" si="4"/>
        <v>0</v>
      </c>
      <c r="L7" s="11">
        <v>0</v>
      </c>
      <c r="M7" s="11">
        <f t="shared" si="5"/>
        <v>0</v>
      </c>
      <c r="N7" s="11">
        <v>20</v>
      </c>
      <c r="O7" s="11">
        <f t="shared" si="6"/>
        <v>73.2</v>
      </c>
      <c r="P7" s="11">
        <v>56</v>
      </c>
      <c r="Q7" s="11">
        <f t="shared" si="7"/>
        <v>204.96</v>
      </c>
      <c r="R7" s="11">
        <v>84</v>
      </c>
      <c r="S7" s="11">
        <f t="shared" si="8"/>
        <v>307.44</v>
      </c>
      <c r="T7" s="11">
        <v>0</v>
      </c>
      <c r="U7" s="11">
        <f t="shared" si="9"/>
        <v>0</v>
      </c>
      <c r="V7" s="11">
        <v>12</v>
      </c>
      <c r="W7" s="11">
        <f t="shared" si="0"/>
        <v>43.92</v>
      </c>
      <c r="X7" s="20">
        <f>D7+F7+H7+J7+L7+N7+P7+R7+T7+V7</f>
        <v>261</v>
      </c>
      <c r="Y7" s="11">
        <f t="shared" si="10"/>
        <v>955.26</v>
      </c>
      <c r="Z7" s="3"/>
      <c r="AA7" s="36"/>
    </row>
    <row r="8" spans="1:27">
      <c r="A8" s="11">
        <v>4</v>
      </c>
      <c r="B8" s="12" t="s">
        <v>16</v>
      </c>
      <c r="C8" s="13">
        <v>2.81</v>
      </c>
      <c r="D8" s="14">
        <v>0</v>
      </c>
      <c r="E8" s="11">
        <f t="shared" si="1"/>
        <v>0</v>
      </c>
      <c r="F8" s="11">
        <v>0</v>
      </c>
      <c r="G8" s="11">
        <f t="shared" si="2"/>
        <v>0</v>
      </c>
      <c r="H8" s="11">
        <v>0</v>
      </c>
      <c r="I8" s="11">
        <f t="shared" si="3"/>
        <v>0</v>
      </c>
      <c r="J8" s="11">
        <v>0</v>
      </c>
      <c r="K8" s="11">
        <f t="shared" si="4"/>
        <v>0</v>
      </c>
      <c r="L8" s="11">
        <v>0</v>
      </c>
      <c r="M8" s="11">
        <f t="shared" si="5"/>
        <v>0</v>
      </c>
      <c r="N8" s="11">
        <v>0</v>
      </c>
      <c r="O8" s="11">
        <f t="shared" si="6"/>
        <v>0</v>
      </c>
      <c r="P8" s="11">
        <v>0</v>
      </c>
      <c r="Q8" s="11">
        <f t="shared" si="7"/>
        <v>0</v>
      </c>
      <c r="R8" s="11">
        <v>0</v>
      </c>
      <c r="S8" s="11">
        <f t="shared" si="8"/>
        <v>0</v>
      </c>
      <c r="T8" s="11">
        <v>0</v>
      </c>
      <c r="U8" s="11">
        <f t="shared" si="9"/>
        <v>0</v>
      </c>
      <c r="V8" s="11">
        <v>0</v>
      </c>
      <c r="W8" s="11">
        <f t="shared" si="0"/>
        <v>0</v>
      </c>
      <c r="X8" s="20">
        <f t="shared" ref="X8:X19" si="11">D8+F8+H8+J8+L8+N8+P8+R8+T8+V8</f>
        <v>0</v>
      </c>
      <c r="Y8" s="11">
        <f t="shared" si="10"/>
        <v>0</v>
      </c>
      <c r="Z8" s="3"/>
      <c r="AA8" s="36"/>
    </row>
    <row r="9" spans="1:27">
      <c r="A9" s="11">
        <v>5</v>
      </c>
      <c r="B9" s="12" t="s">
        <v>17</v>
      </c>
      <c r="C9" s="13">
        <v>3.46</v>
      </c>
      <c r="D9" s="14">
        <v>20</v>
      </c>
      <c r="E9" s="11">
        <f t="shared" si="1"/>
        <v>69.2</v>
      </c>
      <c r="F9" s="11">
        <v>0</v>
      </c>
      <c r="G9" s="11">
        <f t="shared" si="2"/>
        <v>0</v>
      </c>
      <c r="H9" s="11">
        <v>12</v>
      </c>
      <c r="I9" s="11">
        <f t="shared" si="3"/>
        <v>41.519999999999996</v>
      </c>
      <c r="J9" s="11">
        <v>0</v>
      </c>
      <c r="K9" s="11">
        <f t="shared" si="4"/>
        <v>0</v>
      </c>
      <c r="L9" s="11">
        <v>0</v>
      </c>
      <c r="M9" s="11">
        <f t="shared" si="5"/>
        <v>0</v>
      </c>
      <c r="N9" s="11">
        <v>11</v>
      </c>
      <c r="O9" s="11">
        <f t="shared" si="6"/>
        <v>38.06</v>
      </c>
      <c r="P9" s="11">
        <v>2</v>
      </c>
      <c r="Q9" s="11">
        <f t="shared" si="7"/>
        <v>6.92</v>
      </c>
      <c r="R9" s="11">
        <v>3</v>
      </c>
      <c r="S9" s="11">
        <f t="shared" si="8"/>
        <v>10.379999999999999</v>
      </c>
      <c r="T9" s="11">
        <v>0</v>
      </c>
      <c r="U9" s="11">
        <f t="shared" si="9"/>
        <v>0</v>
      </c>
      <c r="V9" s="11">
        <v>59</v>
      </c>
      <c r="W9" s="11">
        <f t="shared" si="0"/>
        <v>204.14</v>
      </c>
      <c r="X9" s="20">
        <f t="shared" si="11"/>
        <v>107</v>
      </c>
      <c r="Y9" s="11">
        <f t="shared" si="10"/>
        <v>370.21999999999997</v>
      </c>
      <c r="Z9" s="3"/>
      <c r="AA9" s="36"/>
    </row>
    <row r="10" spans="1:27">
      <c r="A10" s="11">
        <v>6</v>
      </c>
      <c r="B10" s="12" t="s">
        <v>18</v>
      </c>
      <c r="C10" s="13">
        <v>1.06</v>
      </c>
      <c r="D10" s="14">
        <v>0</v>
      </c>
      <c r="E10" s="11">
        <f t="shared" si="1"/>
        <v>0</v>
      </c>
      <c r="F10" s="11">
        <v>0</v>
      </c>
      <c r="G10" s="11">
        <f t="shared" si="2"/>
        <v>0</v>
      </c>
      <c r="H10" s="11">
        <v>0</v>
      </c>
      <c r="I10" s="11">
        <f t="shared" si="3"/>
        <v>0</v>
      </c>
      <c r="J10" s="11">
        <v>0</v>
      </c>
      <c r="K10" s="11">
        <f t="shared" si="4"/>
        <v>0</v>
      </c>
      <c r="L10" s="11">
        <v>0</v>
      </c>
      <c r="M10" s="11">
        <f t="shared" si="5"/>
        <v>0</v>
      </c>
      <c r="N10" s="11">
        <v>0</v>
      </c>
      <c r="O10" s="11">
        <f t="shared" si="6"/>
        <v>0</v>
      </c>
      <c r="P10" s="11">
        <v>0</v>
      </c>
      <c r="Q10" s="11">
        <f t="shared" si="7"/>
        <v>0</v>
      </c>
      <c r="R10" s="11">
        <v>0</v>
      </c>
      <c r="S10" s="11">
        <f t="shared" si="8"/>
        <v>0</v>
      </c>
      <c r="T10" s="11">
        <v>0</v>
      </c>
      <c r="U10" s="11">
        <f t="shared" si="9"/>
        <v>0</v>
      </c>
      <c r="V10" s="11">
        <v>0</v>
      </c>
      <c r="W10" s="11">
        <f t="shared" si="0"/>
        <v>0</v>
      </c>
      <c r="X10" s="20">
        <f t="shared" si="11"/>
        <v>0</v>
      </c>
      <c r="Y10" s="11">
        <f t="shared" si="10"/>
        <v>0</v>
      </c>
      <c r="Z10" s="3"/>
      <c r="AA10" s="36"/>
    </row>
    <row r="11" spans="1:27">
      <c r="A11" s="11">
        <v>7</v>
      </c>
      <c r="B11" s="12" t="s">
        <v>19</v>
      </c>
      <c r="C11" s="13">
        <v>3.63</v>
      </c>
      <c r="D11" s="14">
        <v>0</v>
      </c>
      <c r="E11" s="11">
        <f t="shared" si="1"/>
        <v>0</v>
      </c>
      <c r="F11" s="11">
        <v>0</v>
      </c>
      <c r="G11" s="11">
        <f t="shared" si="2"/>
        <v>0</v>
      </c>
      <c r="H11" s="11">
        <v>0</v>
      </c>
      <c r="I11" s="11">
        <f t="shared" si="3"/>
        <v>0</v>
      </c>
      <c r="J11" s="11">
        <v>0</v>
      </c>
      <c r="K11" s="11">
        <f t="shared" si="4"/>
        <v>0</v>
      </c>
      <c r="L11" s="11">
        <v>0</v>
      </c>
      <c r="M11" s="11">
        <f t="shared" si="5"/>
        <v>0</v>
      </c>
      <c r="N11" s="11">
        <v>0</v>
      </c>
      <c r="O11" s="11">
        <f t="shared" si="6"/>
        <v>0</v>
      </c>
      <c r="P11" s="11">
        <v>0</v>
      </c>
      <c r="Q11" s="11">
        <f t="shared" si="7"/>
        <v>0</v>
      </c>
      <c r="R11" s="11">
        <v>0</v>
      </c>
      <c r="S11" s="11">
        <f t="shared" si="8"/>
        <v>0</v>
      </c>
      <c r="T11" s="11">
        <v>0</v>
      </c>
      <c r="U11" s="11">
        <f t="shared" si="9"/>
        <v>0</v>
      </c>
      <c r="V11" s="11">
        <v>0</v>
      </c>
      <c r="W11" s="11">
        <f t="shared" si="0"/>
        <v>0</v>
      </c>
      <c r="X11" s="20">
        <f t="shared" si="11"/>
        <v>0</v>
      </c>
      <c r="Y11" s="11">
        <f t="shared" si="10"/>
        <v>0</v>
      </c>
      <c r="Z11" s="3"/>
      <c r="AA11" s="36"/>
    </row>
    <row r="12" spans="1:27">
      <c r="A12" s="11">
        <v>8</v>
      </c>
      <c r="B12" s="12" t="s">
        <v>20</v>
      </c>
      <c r="C12" s="13">
        <v>0.85</v>
      </c>
      <c r="D12" s="14">
        <v>0</v>
      </c>
      <c r="E12" s="11">
        <f t="shared" si="1"/>
        <v>0</v>
      </c>
      <c r="F12" s="11">
        <v>0</v>
      </c>
      <c r="G12" s="11">
        <f t="shared" si="2"/>
        <v>0</v>
      </c>
      <c r="H12" s="11">
        <v>0</v>
      </c>
      <c r="I12" s="11">
        <f t="shared" si="3"/>
        <v>0</v>
      </c>
      <c r="J12" s="11">
        <v>0</v>
      </c>
      <c r="K12" s="11">
        <f t="shared" si="4"/>
        <v>0</v>
      </c>
      <c r="L12" s="11">
        <v>0</v>
      </c>
      <c r="M12" s="11">
        <f t="shared" si="5"/>
        <v>0</v>
      </c>
      <c r="N12" s="11">
        <v>0</v>
      </c>
      <c r="O12" s="11">
        <f t="shared" si="6"/>
        <v>0</v>
      </c>
      <c r="P12" s="11">
        <v>0</v>
      </c>
      <c r="Q12" s="11">
        <f t="shared" si="7"/>
        <v>0</v>
      </c>
      <c r="R12" s="11">
        <v>0</v>
      </c>
      <c r="S12" s="11">
        <f t="shared" si="8"/>
        <v>0</v>
      </c>
      <c r="T12" s="11">
        <v>0</v>
      </c>
      <c r="U12" s="11">
        <f t="shared" si="9"/>
        <v>0</v>
      </c>
      <c r="V12" s="11">
        <v>0</v>
      </c>
      <c r="W12" s="11">
        <f t="shared" si="0"/>
        <v>0</v>
      </c>
      <c r="X12" s="20">
        <f t="shared" si="11"/>
        <v>0</v>
      </c>
      <c r="Y12" s="11">
        <f t="shared" si="10"/>
        <v>0</v>
      </c>
      <c r="Z12" s="3"/>
      <c r="AA12" s="36"/>
    </row>
    <row r="13" spans="1:27" ht="15" customHeight="1">
      <c r="A13" s="11">
        <v>9</v>
      </c>
      <c r="B13" s="12" t="s">
        <v>21</v>
      </c>
      <c r="C13" s="13">
        <v>1.98</v>
      </c>
      <c r="D13" s="14">
        <v>0</v>
      </c>
      <c r="E13" s="11">
        <f t="shared" si="1"/>
        <v>0</v>
      </c>
      <c r="F13" s="11">
        <v>0</v>
      </c>
      <c r="G13" s="11">
        <f t="shared" si="2"/>
        <v>0</v>
      </c>
      <c r="H13" s="11">
        <v>20</v>
      </c>
      <c r="I13" s="11">
        <f t="shared" si="3"/>
        <v>39.6</v>
      </c>
      <c r="J13" s="11">
        <v>50</v>
      </c>
      <c r="K13" s="11">
        <f t="shared" si="4"/>
        <v>99</v>
      </c>
      <c r="L13" s="11">
        <v>0</v>
      </c>
      <c r="M13" s="11">
        <f t="shared" si="5"/>
        <v>0</v>
      </c>
      <c r="N13" s="11">
        <v>0</v>
      </c>
      <c r="O13" s="11">
        <f t="shared" si="6"/>
        <v>0</v>
      </c>
      <c r="P13" s="11">
        <v>120</v>
      </c>
      <c r="Q13" s="11">
        <f>P13*C13</f>
        <v>237.6</v>
      </c>
      <c r="R13" s="11">
        <v>0</v>
      </c>
      <c r="S13" s="11">
        <f t="shared" si="8"/>
        <v>0</v>
      </c>
      <c r="T13" s="11">
        <v>0</v>
      </c>
      <c r="U13" s="11">
        <f t="shared" si="9"/>
        <v>0</v>
      </c>
      <c r="V13" s="11">
        <v>0</v>
      </c>
      <c r="W13" s="11">
        <f t="shared" si="0"/>
        <v>0</v>
      </c>
      <c r="X13" s="20">
        <f t="shared" si="11"/>
        <v>190</v>
      </c>
      <c r="Y13" s="11">
        <f t="shared" si="10"/>
        <v>376.2</v>
      </c>
      <c r="Z13" s="3"/>
      <c r="AA13" s="36"/>
    </row>
    <row r="14" spans="1:27">
      <c r="A14" s="11">
        <v>10</v>
      </c>
      <c r="B14" s="15" t="s">
        <v>22</v>
      </c>
      <c r="C14" s="13">
        <v>1.98</v>
      </c>
      <c r="D14" s="14">
        <v>0</v>
      </c>
      <c r="E14" s="11">
        <f t="shared" si="1"/>
        <v>0</v>
      </c>
      <c r="F14" s="11">
        <v>0</v>
      </c>
      <c r="G14" s="11">
        <f t="shared" si="2"/>
        <v>0</v>
      </c>
      <c r="H14" s="11">
        <v>10</v>
      </c>
      <c r="I14" s="11">
        <f t="shared" si="3"/>
        <v>19.8</v>
      </c>
      <c r="J14" s="11">
        <v>50</v>
      </c>
      <c r="K14" s="11">
        <f t="shared" si="4"/>
        <v>99</v>
      </c>
      <c r="L14" s="11">
        <v>3</v>
      </c>
      <c r="M14" s="11">
        <f t="shared" si="5"/>
        <v>5.9399999999999995</v>
      </c>
      <c r="N14" s="11">
        <v>0</v>
      </c>
      <c r="O14" s="11">
        <f t="shared" si="6"/>
        <v>0</v>
      </c>
      <c r="P14" s="11">
        <v>0</v>
      </c>
      <c r="Q14" s="11">
        <f t="shared" si="7"/>
        <v>0</v>
      </c>
      <c r="R14" s="11">
        <v>0</v>
      </c>
      <c r="S14" s="11">
        <f t="shared" si="8"/>
        <v>0</v>
      </c>
      <c r="T14" s="11">
        <v>0</v>
      </c>
      <c r="U14" s="11">
        <f>T14*C14</f>
        <v>0</v>
      </c>
      <c r="V14" s="11">
        <v>0</v>
      </c>
      <c r="W14" s="11">
        <f t="shared" si="0"/>
        <v>0</v>
      </c>
      <c r="X14" s="20">
        <f>D14+F14+H14+J14+L14+N14+P14+R14+T14+V14</f>
        <v>63</v>
      </c>
      <c r="Y14" s="11">
        <f t="shared" si="10"/>
        <v>124.74</v>
      </c>
      <c r="Z14" s="3"/>
      <c r="AA14" s="36"/>
    </row>
    <row r="15" spans="1:27" ht="13.5" customHeight="1">
      <c r="A15" s="11">
        <v>11</v>
      </c>
      <c r="B15" s="12" t="s">
        <v>23</v>
      </c>
      <c r="C15" s="13">
        <v>4.6900000000000004</v>
      </c>
      <c r="D15" s="14">
        <v>0</v>
      </c>
      <c r="E15" s="11">
        <f t="shared" si="1"/>
        <v>0</v>
      </c>
      <c r="F15" s="11">
        <v>0</v>
      </c>
      <c r="G15" s="11">
        <f t="shared" si="2"/>
        <v>0</v>
      </c>
      <c r="H15" s="11">
        <v>0</v>
      </c>
      <c r="I15" s="11">
        <f t="shared" si="3"/>
        <v>0</v>
      </c>
      <c r="J15" s="11">
        <v>0</v>
      </c>
      <c r="K15" s="11">
        <f t="shared" si="4"/>
        <v>0</v>
      </c>
      <c r="L15" s="11">
        <v>0</v>
      </c>
      <c r="M15" s="11">
        <f t="shared" si="5"/>
        <v>0</v>
      </c>
      <c r="N15" s="11">
        <v>0</v>
      </c>
      <c r="O15" s="11">
        <f t="shared" si="6"/>
        <v>0</v>
      </c>
      <c r="P15" s="11">
        <v>0</v>
      </c>
      <c r="Q15" s="11">
        <f t="shared" si="7"/>
        <v>0</v>
      </c>
      <c r="R15" s="32">
        <v>0</v>
      </c>
      <c r="S15" s="11">
        <f t="shared" si="8"/>
        <v>0</v>
      </c>
      <c r="T15" s="32">
        <v>0</v>
      </c>
      <c r="U15" s="11">
        <f t="shared" si="9"/>
        <v>0</v>
      </c>
      <c r="V15" s="32">
        <v>0</v>
      </c>
      <c r="W15" s="11">
        <f t="shared" si="0"/>
        <v>0</v>
      </c>
      <c r="X15" s="20">
        <f t="shared" si="11"/>
        <v>0</v>
      </c>
      <c r="Y15" s="11">
        <f t="shared" si="10"/>
        <v>0</v>
      </c>
      <c r="Z15" s="3"/>
      <c r="AA15" s="36"/>
    </row>
    <row r="16" spans="1:27">
      <c r="A16" s="11">
        <v>12</v>
      </c>
      <c r="B16" s="12" t="s">
        <v>24</v>
      </c>
      <c r="C16" s="13">
        <v>2.9</v>
      </c>
      <c r="D16" s="14">
        <v>0</v>
      </c>
      <c r="E16" s="11">
        <f t="shared" si="1"/>
        <v>0</v>
      </c>
      <c r="F16" s="11">
        <v>0</v>
      </c>
      <c r="G16" s="11">
        <f>C16*F16</f>
        <v>0</v>
      </c>
      <c r="H16" s="11">
        <v>0</v>
      </c>
      <c r="I16" s="11">
        <f t="shared" si="3"/>
        <v>0</v>
      </c>
      <c r="J16" s="11">
        <v>0</v>
      </c>
      <c r="K16" s="11">
        <f t="shared" si="4"/>
        <v>0</v>
      </c>
      <c r="L16" s="11">
        <v>0</v>
      </c>
      <c r="M16" s="11">
        <f t="shared" si="5"/>
        <v>0</v>
      </c>
      <c r="N16" s="11">
        <v>0</v>
      </c>
      <c r="O16" s="11">
        <f t="shared" si="6"/>
        <v>0</v>
      </c>
      <c r="P16" s="11">
        <v>0</v>
      </c>
      <c r="Q16" s="11">
        <f t="shared" si="7"/>
        <v>0</v>
      </c>
      <c r="R16" s="32">
        <v>0</v>
      </c>
      <c r="S16" s="11">
        <f t="shared" si="8"/>
        <v>0</v>
      </c>
      <c r="T16" s="32">
        <v>0</v>
      </c>
      <c r="U16" s="11">
        <f t="shared" si="9"/>
        <v>0</v>
      </c>
      <c r="V16" s="32">
        <v>0</v>
      </c>
      <c r="W16" s="11">
        <f t="shared" si="0"/>
        <v>0</v>
      </c>
      <c r="X16" s="20">
        <f t="shared" si="11"/>
        <v>0</v>
      </c>
      <c r="Y16" s="11">
        <f t="shared" si="10"/>
        <v>0</v>
      </c>
      <c r="Z16" s="3"/>
      <c r="AA16" s="36"/>
    </row>
    <row r="17" spans="1:27">
      <c r="A17" s="11">
        <v>13</v>
      </c>
      <c r="B17" s="12" t="s">
        <v>55</v>
      </c>
      <c r="C17" s="13">
        <v>1.9</v>
      </c>
      <c r="D17" s="14">
        <v>0</v>
      </c>
      <c r="E17" s="11">
        <f>D17*C17</f>
        <v>0</v>
      </c>
      <c r="F17" s="14">
        <v>0</v>
      </c>
      <c r="G17" s="11">
        <f>F17*C17</f>
        <v>0</v>
      </c>
      <c r="H17" s="14">
        <v>0</v>
      </c>
      <c r="I17" s="11">
        <f t="shared" si="3"/>
        <v>0</v>
      </c>
      <c r="J17" s="14">
        <v>0</v>
      </c>
      <c r="K17" s="11">
        <f t="shared" si="4"/>
        <v>0</v>
      </c>
      <c r="L17" s="14">
        <v>0</v>
      </c>
      <c r="M17" s="11">
        <f t="shared" si="5"/>
        <v>0</v>
      </c>
      <c r="N17" s="14">
        <v>0</v>
      </c>
      <c r="O17" s="11">
        <f>N17*C17</f>
        <v>0</v>
      </c>
      <c r="P17" s="32">
        <v>0</v>
      </c>
      <c r="Q17" s="11">
        <f t="shared" si="7"/>
        <v>0</v>
      </c>
      <c r="R17" s="32">
        <v>0</v>
      </c>
      <c r="S17" s="11">
        <f t="shared" si="8"/>
        <v>0</v>
      </c>
      <c r="T17" s="26">
        <v>0</v>
      </c>
      <c r="U17" s="11">
        <f t="shared" si="9"/>
        <v>0</v>
      </c>
      <c r="V17" s="11">
        <v>0</v>
      </c>
      <c r="W17" s="52">
        <f t="shared" si="0"/>
        <v>0</v>
      </c>
      <c r="X17" s="55">
        <f>D17+F17+H17+J17+L17+N17+P17+R17+T17+V17</f>
        <v>0</v>
      </c>
      <c r="Y17" s="52">
        <f t="shared" si="10"/>
        <v>0</v>
      </c>
    </row>
    <row r="18" spans="1:27">
      <c r="A18" s="11">
        <v>14</v>
      </c>
      <c r="B18" s="12" t="s">
        <v>56</v>
      </c>
      <c r="C18" s="13">
        <v>2.4</v>
      </c>
      <c r="D18" s="14">
        <v>0</v>
      </c>
      <c r="E18" s="11">
        <f>D18*C18</f>
        <v>0</v>
      </c>
      <c r="F18" s="14">
        <v>0</v>
      </c>
      <c r="G18" s="11">
        <f>F18*C18</f>
        <v>0</v>
      </c>
      <c r="H18" s="14">
        <v>0</v>
      </c>
      <c r="I18" s="11">
        <f t="shared" si="3"/>
        <v>0</v>
      </c>
      <c r="J18" s="14">
        <v>0</v>
      </c>
      <c r="K18" s="11">
        <f t="shared" si="4"/>
        <v>0</v>
      </c>
      <c r="L18" s="14">
        <v>0</v>
      </c>
      <c r="M18" s="11">
        <f t="shared" si="5"/>
        <v>0</v>
      </c>
      <c r="N18" s="14">
        <v>0</v>
      </c>
      <c r="O18" s="11">
        <f>N18*C18</f>
        <v>0</v>
      </c>
      <c r="P18" s="32">
        <v>0</v>
      </c>
      <c r="Q18" s="11">
        <f t="shared" si="7"/>
        <v>0</v>
      </c>
      <c r="R18" s="32">
        <v>0</v>
      </c>
      <c r="S18" s="11">
        <f>R18*C18</f>
        <v>0</v>
      </c>
      <c r="T18" s="26">
        <v>0</v>
      </c>
      <c r="U18" s="11">
        <f t="shared" si="9"/>
        <v>0</v>
      </c>
      <c r="V18" s="11">
        <v>0</v>
      </c>
      <c r="W18" s="53">
        <f t="shared" si="0"/>
        <v>0</v>
      </c>
      <c r="X18" s="54">
        <f>D18+F18+H18+J18+L18+N18+P18+R18+T18+V18</f>
        <v>0</v>
      </c>
      <c r="Y18" s="53">
        <f t="shared" si="10"/>
        <v>0</v>
      </c>
    </row>
    <row r="19" spans="1:27">
      <c r="A19" s="11">
        <v>15</v>
      </c>
      <c r="B19" s="12" t="s">
        <v>25</v>
      </c>
      <c r="C19" s="13">
        <v>1.5</v>
      </c>
      <c r="D19" s="31">
        <v>0</v>
      </c>
      <c r="E19" s="11">
        <f t="shared" si="1"/>
        <v>0</v>
      </c>
      <c r="F19" s="32">
        <v>0</v>
      </c>
      <c r="G19" s="11">
        <f t="shared" si="2"/>
        <v>0</v>
      </c>
      <c r="H19" s="32">
        <v>0</v>
      </c>
      <c r="I19" s="11">
        <f t="shared" si="3"/>
        <v>0</v>
      </c>
      <c r="J19" s="32">
        <v>0</v>
      </c>
      <c r="K19" s="11">
        <f t="shared" si="4"/>
        <v>0</v>
      </c>
      <c r="L19" s="32">
        <v>0</v>
      </c>
      <c r="M19" s="11">
        <f t="shared" si="5"/>
        <v>0</v>
      </c>
      <c r="N19" s="32">
        <v>0</v>
      </c>
      <c r="O19" s="11">
        <f t="shared" si="6"/>
        <v>0</v>
      </c>
      <c r="P19" s="32">
        <v>0</v>
      </c>
      <c r="Q19" s="11">
        <f t="shared" si="7"/>
        <v>0</v>
      </c>
      <c r="R19" s="32">
        <v>0</v>
      </c>
      <c r="S19" s="11">
        <f t="shared" si="8"/>
        <v>0</v>
      </c>
      <c r="T19" s="32">
        <v>0</v>
      </c>
      <c r="U19" s="11">
        <f t="shared" si="9"/>
        <v>0</v>
      </c>
      <c r="V19" s="32">
        <v>0</v>
      </c>
      <c r="W19" s="11">
        <f t="shared" si="0"/>
        <v>0</v>
      </c>
      <c r="X19" s="20">
        <f t="shared" si="11"/>
        <v>0</v>
      </c>
      <c r="Y19" s="11">
        <f t="shared" si="10"/>
        <v>0</v>
      </c>
      <c r="Z19" s="3"/>
      <c r="AA19" s="36"/>
    </row>
    <row r="20" spans="1:27">
      <c r="A20" s="11">
        <v>16</v>
      </c>
      <c r="B20" s="12" t="s">
        <v>58</v>
      </c>
      <c r="C20" s="13">
        <v>5.38</v>
      </c>
      <c r="D20" s="14">
        <v>0</v>
      </c>
      <c r="E20" s="11">
        <f>D20*C20</f>
        <v>0</v>
      </c>
      <c r="F20" s="14">
        <v>0</v>
      </c>
      <c r="G20" s="11">
        <f>F20*C20</f>
        <v>0</v>
      </c>
      <c r="H20" s="14">
        <v>0</v>
      </c>
      <c r="I20" s="11">
        <f t="shared" si="3"/>
        <v>0</v>
      </c>
      <c r="J20" s="14">
        <v>0</v>
      </c>
      <c r="K20" s="11">
        <f t="shared" si="4"/>
        <v>0</v>
      </c>
      <c r="L20" s="14">
        <v>0</v>
      </c>
      <c r="M20" s="26">
        <f t="shared" si="5"/>
        <v>0</v>
      </c>
      <c r="N20" s="14">
        <v>0</v>
      </c>
      <c r="O20" s="11">
        <f>N20*C20</f>
        <v>0</v>
      </c>
      <c r="P20" s="32">
        <v>0</v>
      </c>
      <c r="Q20" s="11">
        <f t="shared" si="7"/>
        <v>0</v>
      </c>
      <c r="R20" s="32">
        <v>0</v>
      </c>
      <c r="S20" s="11">
        <f t="shared" si="8"/>
        <v>0</v>
      </c>
      <c r="T20" s="26">
        <v>0</v>
      </c>
      <c r="U20" s="11">
        <f t="shared" si="9"/>
        <v>0</v>
      </c>
      <c r="V20" s="32">
        <v>0</v>
      </c>
      <c r="W20" s="11">
        <f>V20*C20</f>
        <v>0</v>
      </c>
      <c r="X20" s="20">
        <f>D20+F20+H20+J20+L20+N20+P20+R20+T20+V20</f>
        <v>0</v>
      </c>
      <c r="Y20" s="11">
        <f>X20*C20</f>
        <v>0</v>
      </c>
    </row>
    <row r="21" spans="1:27">
      <c r="A21" s="11">
        <v>17</v>
      </c>
      <c r="B21" s="12" t="s">
        <v>59</v>
      </c>
      <c r="C21" s="13">
        <v>2</v>
      </c>
      <c r="D21" s="31">
        <v>0</v>
      </c>
      <c r="E21" s="11">
        <f>D21*C21</f>
        <v>0</v>
      </c>
      <c r="F21" s="32">
        <v>0</v>
      </c>
      <c r="G21" s="11">
        <f>F21*A21</f>
        <v>0</v>
      </c>
      <c r="H21" s="32">
        <v>0</v>
      </c>
      <c r="I21" s="11">
        <f t="shared" si="3"/>
        <v>0</v>
      </c>
      <c r="J21" s="32">
        <v>0</v>
      </c>
      <c r="K21" s="11">
        <f t="shared" si="4"/>
        <v>0</v>
      </c>
      <c r="L21" s="38">
        <v>0</v>
      </c>
      <c r="M21" s="26">
        <f>L21*C21</f>
        <v>0</v>
      </c>
      <c r="N21" s="26">
        <v>0</v>
      </c>
      <c r="O21" s="26">
        <f>N21*C21</f>
        <v>0</v>
      </c>
      <c r="P21" s="32">
        <v>0</v>
      </c>
      <c r="Q21" s="11">
        <f t="shared" si="7"/>
        <v>0</v>
      </c>
      <c r="R21" s="32">
        <v>0</v>
      </c>
      <c r="S21" s="11">
        <f t="shared" si="8"/>
        <v>0</v>
      </c>
      <c r="T21" s="26">
        <f>D21+F21+H21+J21+L21+N21+P21+R21</f>
        <v>0</v>
      </c>
      <c r="U21" s="11">
        <f t="shared" si="9"/>
        <v>0</v>
      </c>
      <c r="V21" s="32">
        <v>0</v>
      </c>
      <c r="W21" s="11">
        <f>V21*C21</f>
        <v>0</v>
      </c>
      <c r="X21" s="20">
        <f>D21+F21+H21+J21+L21+N21+P21+R21+T21+V21</f>
        <v>0</v>
      </c>
      <c r="Y21" s="11">
        <f>X21*C21</f>
        <v>0</v>
      </c>
    </row>
    <row r="22" spans="1:27">
      <c r="A22" s="16"/>
      <c r="B22" s="17" t="s">
        <v>6</v>
      </c>
      <c r="C22" s="17"/>
      <c r="D22" s="17"/>
      <c r="E22" s="17">
        <f>SUM(E5:E21)</f>
        <v>307.10000000000002</v>
      </c>
      <c r="F22" s="17"/>
      <c r="G22" s="17">
        <f>SUM(G5:G21)</f>
        <v>170.66</v>
      </c>
      <c r="H22" s="17"/>
      <c r="I22" s="17">
        <f>SUM(I5:I19)</f>
        <v>188.76000000000002</v>
      </c>
      <c r="J22" s="17"/>
      <c r="K22" s="17">
        <f>SUM(K5:K21)</f>
        <v>198</v>
      </c>
      <c r="L22" s="17"/>
      <c r="M22" s="17">
        <f>SUM(M5:M21)</f>
        <v>1193.94</v>
      </c>
      <c r="N22" s="17"/>
      <c r="O22" s="17">
        <f>SUM(O5:O21)</f>
        <v>111.26</v>
      </c>
      <c r="P22" s="17"/>
      <c r="Q22" s="17">
        <f>SUM(Q5:Q21)</f>
        <v>924.68</v>
      </c>
      <c r="R22" s="17"/>
      <c r="S22" s="17">
        <f>SUM(S5:S21)</f>
        <v>317.82</v>
      </c>
      <c r="T22" s="17"/>
      <c r="U22" s="17">
        <f>SUM(U5:U21)</f>
        <v>0</v>
      </c>
      <c r="V22" s="17"/>
      <c r="W22" s="17">
        <f>SUM(W5:W21)</f>
        <v>248.06</v>
      </c>
      <c r="X22" s="17"/>
      <c r="Y22" s="21">
        <f>E22+G22+I22+K22+M22+O22+Q22+S22+U22+W22</f>
        <v>3660.28</v>
      </c>
      <c r="Z22" s="3"/>
    </row>
    <row r="23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/>
      <c r="B24" s="3"/>
      <c r="C24" s="3"/>
      <c r="D24" s="3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/>
      <c r="B25" s="3"/>
      <c r="C25" s="3"/>
      <c r="D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</sheetData>
  <mergeCells count="7">
    <mergeCell ref="V3:W3"/>
    <mergeCell ref="X3:Y3"/>
    <mergeCell ref="D3:E3"/>
    <mergeCell ref="F3:G3"/>
    <mergeCell ref="P3:Q3"/>
    <mergeCell ref="R3:S3"/>
    <mergeCell ref="T3:U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zoomScale="80" zoomScaleNormal="80" workbookViewId="0">
      <selection activeCell="A20" sqref="A20:XFD20"/>
    </sheetView>
  </sheetViews>
  <sheetFormatPr baseColWidth="10" defaultColWidth="9" defaultRowHeight="14.5"/>
  <cols>
    <col min="2" max="2" width="18.81640625" customWidth="1"/>
    <col min="4" max="4" width="6.453125" customWidth="1"/>
    <col min="6" max="6" width="6.453125" customWidth="1"/>
    <col min="8" max="8" width="7.453125" customWidth="1"/>
    <col min="10" max="10" width="6.54296875" customWidth="1"/>
    <col min="12" max="12" width="6.81640625" customWidth="1"/>
    <col min="14" max="14" width="6.453125" customWidth="1"/>
    <col min="16" max="16" width="7.453125" customWidth="1"/>
    <col min="18" max="18" width="7" customWidth="1"/>
    <col min="20" max="20" width="6.54296875" customWidth="1"/>
    <col min="22" max="22" width="6.54296875" customWidth="1"/>
  </cols>
  <sheetData>
    <row r="1" spans="1:25" ht="15" thickBot="1">
      <c r="A1" s="1" t="s">
        <v>0</v>
      </c>
      <c r="B1" s="2">
        <v>45962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5">
      <c r="A2" s="4"/>
      <c r="B2" s="5"/>
      <c r="C2" s="6"/>
      <c r="D2" s="73" t="s">
        <v>60</v>
      </c>
      <c r="E2" s="74"/>
      <c r="F2" s="73" t="s">
        <v>44</v>
      </c>
      <c r="G2" s="98"/>
      <c r="H2" s="108" t="s">
        <v>33</v>
      </c>
      <c r="I2" s="109"/>
      <c r="J2" s="110" t="s">
        <v>41</v>
      </c>
      <c r="K2" s="98"/>
      <c r="L2" s="108" t="s">
        <v>45</v>
      </c>
      <c r="M2" s="109"/>
      <c r="N2" s="110" t="s">
        <v>43</v>
      </c>
      <c r="O2" s="74"/>
      <c r="P2" s="71" t="s">
        <v>2</v>
      </c>
      <c r="Q2" s="99"/>
      <c r="R2" s="71" t="s">
        <v>3</v>
      </c>
      <c r="S2" s="72"/>
      <c r="T2" s="75" t="s">
        <v>61</v>
      </c>
      <c r="U2" s="76"/>
      <c r="V2" s="71" t="s">
        <v>5</v>
      </c>
      <c r="W2" s="77"/>
      <c r="X2" s="71" t="s">
        <v>6</v>
      </c>
      <c r="Y2" s="72"/>
    </row>
    <row r="3" spans="1:25">
      <c r="A3" s="8"/>
      <c r="B3" s="9" t="s">
        <v>7</v>
      </c>
      <c r="C3" s="9" t="s">
        <v>8</v>
      </c>
      <c r="D3" s="10" t="s">
        <v>9</v>
      </c>
      <c r="E3" s="10" t="s">
        <v>10</v>
      </c>
      <c r="F3" s="10" t="s">
        <v>9</v>
      </c>
      <c r="G3" s="10" t="s">
        <v>10</v>
      </c>
      <c r="H3" s="10" t="s">
        <v>9</v>
      </c>
      <c r="I3" s="10" t="s">
        <v>10</v>
      </c>
      <c r="J3" s="10" t="s">
        <v>9</v>
      </c>
      <c r="K3" s="10" t="s">
        <v>10</v>
      </c>
      <c r="L3" s="10" t="s">
        <v>9</v>
      </c>
      <c r="M3" s="10" t="s">
        <v>10</v>
      </c>
      <c r="N3" s="10" t="s">
        <v>9</v>
      </c>
      <c r="O3" s="10" t="s">
        <v>10</v>
      </c>
      <c r="P3" s="18" t="s">
        <v>11</v>
      </c>
      <c r="Q3" s="19" t="s">
        <v>12</v>
      </c>
      <c r="R3" s="18" t="s">
        <v>11</v>
      </c>
      <c r="S3" s="19" t="s">
        <v>12</v>
      </c>
      <c r="T3" s="18" t="s">
        <v>11</v>
      </c>
      <c r="U3" s="19" t="s">
        <v>12</v>
      </c>
      <c r="V3" s="18" t="s">
        <v>11</v>
      </c>
      <c r="W3" s="19" t="s">
        <v>12</v>
      </c>
      <c r="X3" s="18" t="s">
        <v>11</v>
      </c>
      <c r="Y3" s="19" t="s">
        <v>12</v>
      </c>
    </row>
    <row r="4" spans="1:25">
      <c r="A4" s="11">
        <v>1</v>
      </c>
      <c r="B4" s="12" t="s">
        <v>13</v>
      </c>
      <c r="C4" s="13">
        <v>0.99</v>
      </c>
      <c r="D4" s="14">
        <f>'OUTSTATION-AFRICA LAB '!D5+'UBIPHARM-OUTSTATION'!D5+'LABOREX OUTSTATION'!D5+'CAMED &amp; TEDIS OUTSTATION'!D5</f>
        <v>800</v>
      </c>
      <c r="E4" s="11">
        <f>D4*C4</f>
        <v>792</v>
      </c>
      <c r="F4" s="14">
        <f>'OUTSTATION-AFRICA LAB '!F5+'UBIPHARM-OUTSTATION'!F5+'LABOREX OUTSTATION'!F5+'CAMED &amp; TEDIS OUTSTATION'!F5</f>
        <v>190</v>
      </c>
      <c r="G4" s="11">
        <f>C4*F4</f>
        <v>188.1</v>
      </c>
      <c r="H4" s="14">
        <f>'OUTSTATION-AFRICA LAB '!H5+'UBIPHARM-OUTSTATION'!H5+'LABOREX OUTSTATION'!H5+'CAMED &amp; TEDIS OUTSTATION'!H5</f>
        <v>262</v>
      </c>
      <c r="I4" s="11">
        <f>H4*C4</f>
        <v>259.38</v>
      </c>
      <c r="J4" s="14">
        <f>'OUTSTATION-AFRICA LAB '!J5+'UBIPHARM-OUTSTATION'!J5+'LABOREX OUTSTATION'!J5+'CAMED &amp; TEDIS OUTSTATION'!J5</f>
        <v>224</v>
      </c>
      <c r="K4" s="11">
        <f>J4*C4</f>
        <v>221.76</v>
      </c>
      <c r="L4" s="14">
        <f>'OUTSTATION-AFRICA LAB '!L5+'UBIPHARM-OUTSTATION'!L5+'LABOREX OUTSTATION'!L5+'CAMED &amp; TEDIS OUTSTATION'!L5</f>
        <v>1445</v>
      </c>
      <c r="M4" s="11">
        <f>L4*C4</f>
        <v>1430.55</v>
      </c>
      <c r="N4" s="14">
        <f>'OUTSTATION-AFRICA LAB '!N5+'UBIPHARM-OUTSTATION'!N5+'LABOREX OUTSTATION'!N5+'CAMED &amp; TEDIS OUTSTATION'!N5</f>
        <v>98</v>
      </c>
      <c r="O4" s="11">
        <f>C4*N4</f>
        <v>97.02</v>
      </c>
      <c r="P4" s="14">
        <f>'OUTSTATION-AFRICA LAB '!P5+'UBIPHARM-OUTSTATION'!P5+'LABOREX OUTSTATION'!P5+'CAMED &amp; TEDIS OUTSTATION'!P5</f>
        <v>1505</v>
      </c>
      <c r="Q4" s="11">
        <f>P4*C4</f>
        <v>1489.95</v>
      </c>
      <c r="R4" s="14">
        <f>'OUTSTATION-AFRICA LAB '!R5+'UBIPHARM-OUTSTATION'!R5+'LABOREX OUTSTATION'!R5+'CAMED &amp; TEDIS OUTSTATION'!R5</f>
        <v>1535</v>
      </c>
      <c r="S4" s="11">
        <f>R4*C4</f>
        <v>1519.65</v>
      </c>
      <c r="T4" s="14">
        <f>'OUTSTATION-AFRICA LAB '!T5+'UBIPHARM-OUTSTATION'!T5+'LABOREX OUTSTATION'!T5+'CAMED &amp; TEDIS OUTSTATION'!T5</f>
        <v>296</v>
      </c>
      <c r="U4" s="11">
        <f>T4*C4</f>
        <v>293.04000000000002</v>
      </c>
      <c r="V4" s="14">
        <f>'OUTSTATION-AFRICA LAB '!V5+'UBIPHARM-OUTSTATION'!V5+'LABOREX OUTSTATION'!V5+'CAMED &amp; TEDIS OUTSTATION'!V5</f>
        <v>6016</v>
      </c>
      <c r="W4" s="11">
        <f>V4*C4</f>
        <v>5955.84</v>
      </c>
      <c r="X4" s="20">
        <f>D4+F4+H4+J4+L4+N4+P4+R4+T4+V4</f>
        <v>12371</v>
      </c>
      <c r="Y4" s="11">
        <f>X4*C4</f>
        <v>12247.289999999999</v>
      </c>
    </row>
    <row r="5" spans="1:25">
      <c r="A5" s="11">
        <v>2</v>
      </c>
      <c r="B5" s="12" t="s">
        <v>14</v>
      </c>
      <c r="C5" s="13">
        <v>2.29</v>
      </c>
      <c r="D5" s="14">
        <f>'OUTSTATION-AFRICA LAB '!D6+'UBIPHARM-OUTSTATION'!D6+'LABOREX OUTSTATION'!D6+'CAMED &amp; TEDIS OUTSTATION'!D6</f>
        <v>50</v>
      </c>
      <c r="E5" s="11">
        <f t="shared" ref="E5:E15" si="0">D5*C5</f>
        <v>114.5</v>
      </c>
      <c r="F5" s="14">
        <f>'OUTSTATION-AFRICA LAB '!F6+'UBIPHARM-OUTSTATION'!F6+'LABOREX OUTSTATION'!F6+'CAMED &amp; TEDIS OUTSTATION'!F6</f>
        <v>44</v>
      </c>
      <c r="G5" s="11">
        <f t="shared" ref="G5:G18" si="1">C5*F5</f>
        <v>100.76</v>
      </c>
      <c r="H5" s="14">
        <f>'OUTSTATION-AFRICA LAB '!H6+'UBIPHARM-OUTSTATION'!H6+'LABOREX OUTSTATION'!H6+'CAMED &amp; TEDIS OUTSTATION'!H6</f>
        <v>16</v>
      </c>
      <c r="I5" s="11">
        <f t="shared" ref="I5:I18" si="2">H5*C5</f>
        <v>36.64</v>
      </c>
      <c r="J5" s="14">
        <f>'OUTSTATION-AFRICA LAB '!J6+'UBIPHARM-OUTSTATION'!J6+'LABOREX OUTSTATION'!J6+'CAMED &amp; TEDIS OUTSTATION'!J6</f>
        <v>10</v>
      </c>
      <c r="K5" s="11">
        <f t="shared" ref="K5:K18" si="3">J5*C5</f>
        <v>22.9</v>
      </c>
      <c r="L5" s="14">
        <f>'OUTSTATION-AFRICA LAB '!L6+'UBIPHARM-OUTSTATION'!L6+'LABOREX OUTSTATION'!L6+'CAMED &amp; TEDIS OUTSTATION'!L6</f>
        <v>16</v>
      </c>
      <c r="M5" s="11">
        <f t="shared" ref="M5:M18" si="4">L5*C5</f>
        <v>36.64</v>
      </c>
      <c r="N5" s="14">
        <f>'OUTSTATION-AFRICA LAB '!N6+'UBIPHARM-OUTSTATION'!N6+'LABOREX OUTSTATION'!N6+'CAMED &amp; TEDIS OUTSTATION'!N6</f>
        <v>49</v>
      </c>
      <c r="O5" s="11">
        <f t="shared" ref="O5:O18" si="5">C5*N5</f>
        <v>112.21000000000001</v>
      </c>
      <c r="P5" s="14">
        <f>'OUTSTATION-AFRICA LAB '!P6+'UBIPHARM-OUTSTATION'!P6+'LABOREX OUTSTATION'!P6+'CAMED &amp; TEDIS OUTSTATION'!P6</f>
        <v>34</v>
      </c>
      <c r="Q5" s="11">
        <f t="shared" ref="Q5:Q18" si="6">P5*C5</f>
        <v>77.86</v>
      </c>
      <c r="R5" s="14">
        <f>'OUTSTATION-AFRICA LAB '!R6+'UBIPHARM-OUTSTATION'!R6+'LABOREX OUTSTATION'!R6+'CAMED &amp; TEDIS OUTSTATION'!R6</f>
        <v>170</v>
      </c>
      <c r="S5" s="11">
        <f t="shared" ref="S5:S18" si="7">R5*C5</f>
        <v>389.3</v>
      </c>
      <c r="T5" s="14">
        <f>'OUTSTATION-AFRICA LAB '!T6+'UBIPHARM-OUTSTATION'!T6+'LABOREX OUTSTATION'!T6+'CAMED &amp; TEDIS OUTSTATION'!T6</f>
        <v>39</v>
      </c>
      <c r="U5" s="11">
        <f t="shared" ref="U5:U18" si="8">T5*C5</f>
        <v>89.31</v>
      </c>
      <c r="V5" s="14">
        <f>'OUTSTATION-AFRICA LAB '!V6+'UBIPHARM-OUTSTATION'!V6+'LABOREX OUTSTATION'!V6+'CAMED &amp; TEDIS OUTSTATION'!V6</f>
        <v>44</v>
      </c>
      <c r="W5" s="11">
        <f t="shared" ref="W5:W18" si="9">V5*C5</f>
        <v>100.76</v>
      </c>
      <c r="X5" s="20">
        <f t="shared" ref="X5:X18" si="10">D5+F5+H5+J5+L5+N5+P5+R5+T5+V5</f>
        <v>472</v>
      </c>
      <c r="Y5" s="11">
        <f t="shared" ref="Y5:Y18" si="11">X5*C5</f>
        <v>1080.8800000000001</v>
      </c>
    </row>
    <row r="6" spans="1:25">
      <c r="A6" s="11">
        <v>3</v>
      </c>
      <c r="B6" s="12" t="s">
        <v>15</v>
      </c>
      <c r="C6" s="13">
        <v>3.66</v>
      </c>
      <c r="D6" s="14">
        <f>'OUTSTATION-AFRICA LAB '!D7+'UBIPHARM-OUTSTATION'!D7+'LABOREX OUTSTATION'!D7+'CAMED &amp; TEDIS OUTSTATION'!D7</f>
        <v>280</v>
      </c>
      <c r="E6" s="11">
        <f t="shared" si="0"/>
        <v>1024.8</v>
      </c>
      <c r="F6" s="14">
        <f>'OUTSTATION-AFRICA LAB '!F7+'UBIPHARM-OUTSTATION'!F7+'LABOREX OUTSTATION'!F7+'CAMED &amp; TEDIS OUTSTATION'!F7</f>
        <v>66</v>
      </c>
      <c r="G6" s="11">
        <f t="shared" si="1"/>
        <v>241.56</v>
      </c>
      <c r="H6" s="14">
        <f>'OUTSTATION-AFRICA LAB '!H7+'UBIPHARM-OUTSTATION'!H7+'LABOREX OUTSTATION'!H7+'CAMED &amp; TEDIS OUTSTATION'!H7</f>
        <v>119</v>
      </c>
      <c r="I6" s="11">
        <f t="shared" si="2"/>
        <v>435.54</v>
      </c>
      <c r="J6" s="14">
        <f>'OUTSTATION-AFRICA LAB '!J7+'UBIPHARM-OUTSTATION'!J7+'LABOREX OUTSTATION'!J7+'CAMED &amp; TEDIS OUTSTATION'!J7</f>
        <v>181</v>
      </c>
      <c r="K6" s="11">
        <f t="shared" si="3"/>
        <v>662.46</v>
      </c>
      <c r="L6" s="14">
        <f>'OUTSTATION-AFRICA LAB '!L7+'UBIPHARM-OUTSTATION'!L7+'LABOREX OUTSTATION'!L7+'CAMED &amp; TEDIS OUTSTATION'!L7</f>
        <v>50</v>
      </c>
      <c r="M6" s="11">
        <f t="shared" si="4"/>
        <v>183</v>
      </c>
      <c r="N6" s="14">
        <f>'OUTSTATION-AFRICA LAB '!N7+'UBIPHARM-OUTSTATION'!N7+'LABOREX OUTSTATION'!N7+'CAMED &amp; TEDIS OUTSTATION'!N7</f>
        <v>76</v>
      </c>
      <c r="O6" s="11">
        <f t="shared" si="5"/>
        <v>278.16000000000003</v>
      </c>
      <c r="P6" s="14">
        <f>'OUTSTATION-AFRICA LAB '!P7+'UBIPHARM-OUTSTATION'!P7+'LABOREX OUTSTATION'!P7+'CAMED &amp; TEDIS OUTSTATION'!P7</f>
        <v>254</v>
      </c>
      <c r="Q6" s="11">
        <f t="shared" si="6"/>
        <v>929.64</v>
      </c>
      <c r="R6" s="14">
        <f>'OUTSTATION-AFRICA LAB '!R7+'UBIPHARM-OUTSTATION'!R7+'LABOREX OUTSTATION'!R7+'CAMED &amp; TEDIS OUTSTATION'!R7</f>
        <v>348</v>
      </c>
      <c r="S6" s="11">
        <f t="shared" si="7"/>
        <v>1273.68</v>
      </c>
      <c r="T6" s="14">
        <f>'OUTSTATION-AFRICA LAB '!T7+'UBIPHARM-OUTSTATION'!T7+'LABOREX OUTSTATION'!T7+'CAMED &amp; TEDIS OUTSTATION'!T7</f>
        <v>76</v>
      </c>
      <c r="U6" s="11">
        <f t="shared" si="8"/>
        <v>278.16000000000003</v>
      </c>
      <c r="V6" s="14">
        <f>'OUTSTATION-AFRICA LAB '!V7+'UBIPHARM-OUTSTATION'!V7+'LABOREX OUTSTATION'!V7+'CAMED &amp; TEDIS OUTSTATION'!V7</f>
        <v>103</v>
      </c>
      <c r="W6" s="11">
        <f t="shared" si="9"/>
        <v>376.98</v>
      </c>
      <c r="X6" s="20">
        <f t="shared" si="10"/>
        <v>1553</v>
      </c>
      <c r="Y6" s="11">
        <f t="shared" si="11"/>
        <v>5683.9800000000005</v>
      </c>
    </row>
    <row r="7" spans="1:25">
      <c r="A7" s="11">
        <v>4</v>
      </c>
      <c r="B7" s="12" t="s">
        <v>16</v>
      </c>
      <c r="C7" s="13">
        <v>2.81</v>
      </c>
      <c r="D7" s="14">
        <f>'OUTSTATION-AFRICA LAB '!D8+'UBIPHARM-OUTSTATION'!D8+'LABOREX OUTSTATION'!D8+'CAMED &amp; TEDIS OUTSTATION'!D8</f>
        <v>35</v>
      </c>
      <c r="E7" s="11">
        <f t="shared" si="0"/>
        <v>98.350000000000009</v>
      </c>
      <c r="F7" s="14">
        <f>'OUTSTATION-AFRICA LAB '!F8+'UBIPHARM-OUTSTATION'!F8+'LABOREX OUTSTATION'!F8+'CAMED &amp; TEDIS OUTSTATION'!F8</f>
        <v>11</v>
      </c>
      <c r="G7" s="11">
        <f t="shared" si="1"/>
        <v>30.91</v>
      </c>
      <c r="H7" s="14">
        <f>'OUTSTATION-AFRICA LAB '!H8+'UBIPHARM-OUTSTATION'!H8+'LABOREX OUTSTATION'!H8+'CAMED &amp; TEDIS OUTSTATION'!H8</f>
        <v>15</v>
      </c>
      <c r="I7" s="11">
        <f t="shared" si="2"/>
        <v>42.15</v>
      </c>
      <c r="J7" s="14">
        <f>'OUTSTATION-AFRICA LAB '!J8+'UBIPHARM-OUTSTATION'!J8+'LABOREX OUTSTATION'!J8+'CAMED &amp; TEDIS OUTSTATION'!J8</f>
        <v>0</v>
      </c>
      <c r="K7" s="11">
        <f t="shared" si="3"/>
        <v>0</v>
      </c>
      <c r="L7" s="14">
        <f>'OUTSTATION-AFRICA LAB '!L8+'UBIPHARM-OUTSTATION'!L8+'LABOREX OUTSTATION'!L8+'CAMED &amp; TEDIS OUTSTATION'!L8</f>
        <v>11</v>
      </c>
      <c r="M7" s="11">
        <f t="shared" si="4"/>
        <v>30.91</v>
      </c>
      <c r="N7" s="14">
        <f>'OUTSTATION-AFRICA LAB '!N8+'UBIPHARM-OUTSTATION'!N8+'LABOREX OUTSTATION'!N8+'CAMED &amp; TEDIS OUTSTATION'!N8</f>
        <v>11</v>
      </c>
      <c r="O7" s="11">
        <f t="shared" si="5"/>
        <v>30.91</v>
      </c>
      <c r="P7" s="14">
        <f>'OUTSTATION-AFRICA LAB '!P8+'UBIPHARM-OUTSTATION'!P8+'LABOREX OUTSTATION'!P8+'CAMED &amp; TEDIS OUTSTATION'!P8</f>
        <v>21</v>
      </c>
      <c r="Q7" s="11">
        <f t="shared" si="6"/>
        <v>59.01</v>
      </c>
      <c r="R7" s="14">
        <f>'OUTSTATION-AFRICA LAB '!R8+'UBIPHARM-OUTSTATION'!R8+'LABOREX OUTSTATION'!R8+'CAMED &amp; TEDIS OUTSTATION'!R8</f>
        <v>7</v>
      </c>
      <c r="S7" s="11">
        <f t="shared" si="7"/>
        <v>19.670000000000002</v>
      </c>
      <c r="T7" s="14">
        <f>'OUTSTATION-AFRICA LAB '!T8+'UBIPHARM-OUTSTATION'!T8+'LABOREX OUTSTATION'!T8+'CAMED &amp; TEDIS OUTSTATION'!T8</f>
        <v>29</v>
      </c>
      <c r="U7" s="11">
        <f t="shared" si="8"/>
        <v>81.489999999999995</v>
      </c>
      <c r="V7" s="14">
        <f>'OUTSTATION-AFRICA LAB '!V8+'UBIPHARM-OUTSTATION'!V8+'LABOREX OUTSTATION'!V8+'CAMED &amp; TEDIS OUTSTATION'!V8</f>
        <v>14</v>
      </c>
      <c r="W7" s="11">
        <f t="shared" si="9"/>
        <v>39.340000000000003</v>
      </c>
      <c r="X7" s="20">
        <f t="shared" si="10"/>
        <v>154</v>
      </c>
      <c r="Y7" s="11">
        <f t="shared" si="11"/>
        <v>432.74</v>
      </c>
    </row>
    <row r="8" spans="1:25">
      <c r="A8" s="11">
        <v>5</v>
      </c>
      <c r="B8" s="12" t="s">
        <v>17</v>
      </c>
      <c r="C8" s="13">
        <v>3.46</v>
      </c>
      <c r="D8" s="14">
        <f>'OUTSTATION-AFRICA LAB '!D9+'UBIPHARM-OUTSTATION'!D9+'LABOREX OUTSTATION'!D9+'CAMED &amp; TEDIS OUTSTATION'!D9</f>
        <v>140</v>
      </c>
      <c r="E8" s="11">
        <f t="shared" si="0"/>
        <v>484.4</v>
      </c>
      <c r="F8" s="14">
        <f>'OUTSTATION-AFRICA LAB '!F9+'UBIPHARM-OUTSTATION'!F9+'LABOREX OUTSTATION'!F9+'CAMED &amp; TEDIS OUTSTATION'!F9</f>
        <v>38</v>
      </c>
      <c r="G8" s="11">
        <f t="shared" si="1"/>
        <v>131.47999999999999</v>
      </c>
      <c r="H8" s="14">
        <f>'OUTSTATION-AFRICA LAB '!H9+'UBIPHARM-OUTSTATION'!H9+'LABOREX OUTSTATION'!H9+'CAMED &amp; TEDIS OUTSTATION'!H9</f>
        <v>41</v>
      </c>
      <c r="I8" s="11">
        <f t="shared" si="2"/>
        <v>141.85999999999999</v>
      </c>
      <c r="J8" s="14">
        <f>'OUTSTATION-AFRICA LAB '!J9+'UBIPHARM-OUTSTATION'!J9+'LABOREX OUTSTATION'!J9+'CAMED &amp; TEDIS OUTSTATION'!J9</f>
        <v>116</v>
      </c>
      <c r="K8" s="11">
        <f t="shared" si="3"/>
        <v>401.36</v>
      </c>
      <c r="L8" s="14">
        <f>'OUTSTATION-AFRICA LAB '!L9+'UBIPHARM-OUTSTATION'!L9+'LABOREX OUTSTATION'!L9+'CAMED &amp; TEDIS OUTSTATION'!L9</f>
        <v>39</v>
      </c>
      <c r="M8" s="11">
        <f t="shared" si="4"/>
        <v>134.94</v>
      </c>
      <c r="N8" s="14">
        <f>'OUTSTATION-AFRICA LAB '!N9+'UBIPHARM-OUTSTATION'!N9+'LABOREX OUTSTATION'!N9+'CAMED &amp; TEDIS OUTSTATION'!N9</f>
        <v>25</v>
      </c>
      <c r="O8" s="11">
        <f t="shared" si="5"/>
        <v>86.5</v>
      </c>
      <c r="P8" s="14">
        <f>'OUTSTATION-AFRICA LAB '!P9+'UBIPHARM-OUTSTATION'!P9+'LABOREX OUTSTATION'!P9+'CAMED &amp; TEDIS OUTSTATION'!P9</f>
        <v>46</v>
      </c>
      <c r="Q8" s="11">
        <f t="shared" si="6"/>
        <v>159.16</v>
      </c>
      <c r="R8" s="14">
        <f>'OUTSTATION-AFRICA LAB '!R9+'UBIPHARM-OUTSTATION'!R9+'LABOREX OUTSTATION'!R9+'CAMED &amp; TEDIS OUTSTATION'!R9</f>
        <v>75</v>
      </c>
      <c r="S8" s="11">
        <f t="shared" si="7"/>
        <v>259.5</v>
      </c>
      <c r="T8" s="14">
        <f>'OUTSTATION-AFRICA LAB '!T9+'UBIPHARM-OUTSTATION'!T9+'LABOREX OUTSTATION'!T9+'CAMED &amp; TEDIS OUTSTATION'!T9</f>
        <v>23</v>
      </c>
      <c r="U8" s="11">
        <f t="shared" si="8"/>
        <v>79.58</v>
      </c>
      <c r="V8" s="14">
        <f>'OUTSTATION-AFRICA LAB '!V9+'UBIPHARM-OUTSTATION'!V9+'LABOREX OUTSTATION'!V9+'CAMED &amp; TEDIS OUTSTATION'!V9</f>
        <v>70</v>
      </c>
      <c r="W8" s="11">
        <f t="shared" si="9"/>
        <v>242.2</v>
      </c>
      <c r="X8" s="20">
        <f t="shared" si="10"/>
        <v>613</v>
      </c>
      <c r="Y8" s="11">
        <f t="shared" si="11"/>
        <v>2120.98</v>
      </c>
    </row>
    <row r="9" spans="1:25">
      <c r="A9" s="11">
        <v>6</v>
      </c>
      <c r="B9" s="12" t="s">
        <v>18</v>
      </c>
      <c r="C9" s="13">
        <v>1.06</v>
      </c>
      <c r="D9" s="14">
        <f>'OUTSTATION-AFRICA LAB '!D10+'UBIPHARM-OUTSTATION'!D10+'LABOREX OUTSTATION'!D10+'CAMED &amp; TEDIS OUTSTATION'!D10</f>
        <v>0</v>
      </c>
      <c r="E9" s="11">
        <f t="shared" si="0"/>
        <v>0</v>
      </c>
      <c r="F9" s="14">
        <f>'OUTSTATION-AFRICA LAB '!F10+'UBIPHARM-OUTSTATION'!F10+'LABOREX OUTSTATION'!F10+'CAMED &amp; TEDIS OUTSTATION'!F10</f>
        <v>0</v>
      </c>
      <c r="G9" s="11">
        <f t="shared" si="1"/>
        <v>0</v>
      </c>
      <c r="H9" s="14">
        <f>'OUTSTATION-AFRICA LAB '!H10+'UBIPHARM-OUTSTATION'!H10+'LABOREX OUTSTATION'!H10+'CAMED &amp; TEDIS OUTSTATION'!H10</f>
        <v>28</v>
      </c>
      <c r="I9" s="11">
        <f t="shared" si="2"/>
        <v>29.68</v>
      </c>
      <c r="J9" s="14">
        <f>'OUTSTATION-AFRICA LAB '!J10+'UBIPHARM-OUTSTATION'!J10+'LABOREX OUTSTATION'!J10+'CAMED &amp; TEDIS OUTSTATION'!J10</f>
        <v>1</v>
      </c>
      <c r="K9" s="11">
        <f t="shared" si="3"/>
        <v>1.06</v>
      </c>
      <c r="L9" s="14">
        <f>'OUTSTATION-AFRICA LAB '!L10+'UBIPHARM-OUTSTATION'!L10+'LABOREX OUTSTATION'!L10+'CAMED &amp; TEDIS OUTSTATION'!L10</f>
        <v>0</v>
      </c>
      <c r="M9" s="11">
        <f t="shared" si="4"/>
        <v>0</v>
      </c>
      <c r="N9" s="14">
        <f>'OUTSTATION-AFRICA LAB '!N10+'UBIPHARM-OUTSTATION'!N10+'LABOREX OUTSTATION'!N10+'CAMED &amp; TEDIS OUTSTATION'!N10</f>
        <v>4</v>
      </c>
      <c r="O9" s="11">
        <f t="shared" si="5"/>
        <v>4.24</v>
      </c>
      <c r="P9" s="14">
        <f>'OUTSTATION-AFRICA LAB '!P10+'UBIPHARM-OUTSTATION'!P10+'LABOREX OUTSTATION'!P10+'CAMED &amp; TEDIS OUTSTATION'!P10</f>
        <v>0</v>
      </c>
      <c r="Q9" s="11">
        <f t="shared" si="6"/>
        <v>0</v>
      </c>
      <c r="R9" s="14">
        <f>'OUTSTATION-AFRICA LAB '!R10+'UBIPHARM-OUTSTATION'!R10+'LABOREX OUTSTATION'!R10+'CAMED &amp; TEDIS OUTSTATION'!R10</f>
        <v>0</v>
      </c>
      <c r="S9" s="11">
        <f t="shared" si="7"/>
        <v>0</v>
      </c>
      <c r="T9" s="14">
        <f>'OUTSTATION-AFRICA LAB '!T10+'UBIPHARM-OUTSTATION'!T10+'LABOREX OUTSTATION'!T10+'CAMED &amp; TEDIS OUTSTATION'!T10</f>
        <v>0</v>
      </c>
      <c r="U9" s="11">
        <f t="shared" si="8"/>
        <v>0</v>
      </c>
      <c r="V9" s="14">
        <f>'OUTSTATION-AFRICA LAB '!V10+'UBIPHARM-OUTSTATION'!V10+'LABOREX OUTSTATION'!V10+'CAMED &amp; TEDIS OUTSTATION'!V10</f>
        <v>119</v>
      </c>
      <c r="W9" s="11">
        <f t="shared" si="9"/>
        <v>126.14</v>
      </c>
      <c r="X9" s="20">
        <f t="shared" si="10"/>
        <v>152</v>
      </c>
      <c r="Y9" s="11">
        <f t="shared" si="11"/>
        <v>161.12</v>
      </c>
    </row>
    <row r="10" spans="1:25">
      <c r="A10" s="11">
        <v>7</v>
      </c>
      <c r="B10" s="12" t="s">
        <v>19</v>
      </c>
      <c r="C10" s="13">
        <v>3.63</v>
      </c>
      <c r="D10" s="14">
        <f>'OUTSTATION-AFRICA LAB '!D11+'UBIPHARM-OUTSTATION'!D11+'LABOREX OUTSTATION'!D11+'CAMED &amp; TEDIS OUTSTATION'!D11</f>
        <v>0</v>
      </c>
      <c r="E10" s="11">
        <f t="shared" si="0"/>
        <v>0</v>
      </c>
      <c r="F10" s="14">
        <f>'OUTSTATION-AFRICA LAB '!F11+'UBIPHARM-OUTSTATION'!F11+'LABOREX OUTSTATION'!F11+'CAMED &amp; TEDIS OUTSTATION'!F11</f>
        <v>0</v>
      </c>
      <c r="G10" s="11">
        <f t="shared" si="1"/>
        <v>0</v>
      </c>
      <c r="H10" s="14">
        <f>'OUTSTATION-AFRICA LAB '!H11+'UBIPHARM-OUTSTATION'!H11+'LABOREX OUTSTATION'!H11+'CAMED &amp; TEDIS OUTSTATION'!H11</f>
        <v>2</v>
      </c>
      <c r="I10" s="11">
        <f t="shared" si="2"/>
        <v>7.26</v>
      </c>
      <c r="J10" s="14">
        <f>'OUTSTATION-AFRICA LAB '!J11+'UBIPHARM-OUTSTATION'!J11+'LABOREX OUTSTATION'!J11+'CAMED &amp; TEDIS OUTSTATION'!J11</f>
        <v>0</v>
      </c>
      <c r="K10" s="11">
        <f t="shared" si="3"/>
        <v>0</v>
      </c>
      <c r="L10" s="14">
        <f>'OUTSTATION-AFRICA LAB '!L11+'UBIPHARM-OUTSTATION'!L11+'LABOREX OUTSTATION'!L11+'CAMED &amp; TEDIS OUTSTATION'!L11</f>
        <v>0</v>
      </c>
      <c r="M10" s="11">
        <f t="shared" si="4"/>
        <v>0</v>
      </c>
      <c r="N10" s="14">
        <f>'OUTSTATION-AFRICA LAB '!N11+'UBIPHARM-OUTSTATION'!N11+'LABOREX OUTSTATION'!N11+'CAMED &amp; TEDIS OUTSTATION'!N11</f>
        <v>0</v>
      </c>
      <c r="O10" s="11">
        <f t="shared" si="5"/>
        <v>0</v>
      </c>
      <c r="P10" s="14">
        <f>'OUTSTATION-AFRICA LAB '!P11+'UBIPHARM-OUTSTATION'!P11+'LABOREX OUTSTATION'!P11+'CAMED &amp; TEDIS OUTSTATION'!P11</f>
        <v>0</v>
      </c>
      <c r="Q10" s="11">
        <f t="shared" si="6"/>
        <v>0</v>
      </c>
      <c r="R10" s="14">
        <f>'OUTSTATION-AFRICA LAB '!R11+'UBIPHARM-OUTSTATION'!R11+'LABOREX OUTSTATION'!R11+'CAMED &amp; TEDIS OUTSTATION'!R11</f>
        <v>0</v>
      </c>
      <c r="S10" s="11">
        <f t="shared" si="7"/>
        <v>0</v>
      </c>
      <c r="T10" s="14">
        <f>'OUTSTATION-AFRICA LAB '!T11+'UBIPHARM-OUTSTATION'!T11+'LABOREX OUTSTATION'!T11+'CAMED &amp; TEDIS OUTSTATION'!T11</f>
        <v>0</v>
      </c>
      <c r="U10" s="11">
        <f t="shared" si="8"/>
        <v>0</v>
      </c>
      <c r="V10" s="14">
        <f>'OUTSTATION-AFRICA LAB '!V11+'UBIPHARM-OUTSTATION'!V11+'LABOREX OUTSTATION'!V11+'CAMED &amp; TEDIS OUTSTATION'!V11</f>
        <v>3</v>
      </c>
      <c r="W10" s="11">
        <f t="shared" si="9"/>
        <v>10.89</v>
      </c>
      <c r="X10" s="20">
        <f t="shared" si="10"/>
        <v>5</v>
      </c>
      <c r="Y10" s="11">
        <f t="shared" si="11"/>
        <v>18.149999999999999</v>
      </c>
    </row>
    <row r="11" spans="1:25">
      <c r="A11" s="11">
        <v>8</v>
      </c>
      <c r="B11" s="12" t="s">
        <v>20</v>
      </c>
      <c r="C11" s="13">
        <v>0.85</v>
      </c>
      <c r="D11" s="14">
        <f>'OUTSTATION-AFRICA LAB '!D12+'UBIPHARM-OUTSTATION'!D12+'LABOREX OUTSTATION'!D12+'CAMED &amp; TEDIS OUTSTATION'!D12</f>
        <v>10</v>
      </c>
      <c r="E11" s="11">
        <f t="shared" si="0"/>
        <v>8.5</v>
      </c>
      <c r="F11" s="14">
        <f>'OUTSTATION-AFRICA LAB '!F12+'UBIPHARM-OUTSTATION'!F12+'LABOREX OUTSTATION'!F12+'CAMED &amp; TEDIS OUTSTATION'!F12</f>
        <v>8</v>
      </c>
      <c r="G11" s="11">
        <f t="shared" si="1"/>
        <v>6.8</v>
      </c>
      <c r="H11" s="14">
        <f>'OUTSTATION-AFRICA LAB '!H12+'UBIPHARM-OUTSTATION'!H12+'LABOREX OUTSTATION'!H12+'CAMED &amp; TEDIS OUTSTATION'!H12</f>
        <v>44</v>
      </c>
      <c r="I11" s="11">
        <f t="shared" si="2"/>
        <v>37.4</v>
      </c>
      <c r="J11" s="14">
        <f>'OUTSTATION-AFRICA LAB '!J12+'UBIPHARM-OUTSTATION'!J12+'LABOREX OUTSTATION'!J12+'CAMED &amp; TEDIS OUTSTATION'!J12</f>
        <v>0</v>
      </c>
      <c r="K11" s="11">
        <f t="shared" si="3"/>
        <v>0</v>
      </c>
      <c r="L11" s="14">
        <f>'OUTSTATION-AFRICA LAB '!L12+'UBIPHARM-OUTSTATION'!L12+'LABOREX OUTSTATION'!L12+'CAMED &amp; TEDIS OUTSTATION'!L12</f>
        <v>7</v>
      </c>
      <c r="M11" s="11">
        <f t="shared" si="4"/>
        <v>5.95</v>
      </c>
      <c r="N11" s="14">
        <f>'OUTSTATION-AFRICA LAB '!N12+'UBIPHARM-OUTSTATION'!N12+'LABOREX OUTSTATION'!N12+'CAMED &amp; TEDIS OUTSTATION'!N12</f>
        <v>0</v>
      </c>
      <c r="O11" s="11">
        <f t="shared" si="5"/>
        <v>0</v>
      </c>
      <c r="P11" s="14">
        <f>'OUTSTATION-AFRICA LAB '!P12+'UBIPHARM-OUTSTATION'!P12+'LABOREX OUTSTATION'!P12+'CAMED &amp; TEDIS OUTSTATION'!P12</f>
        <v>5</v>
      </c>
      <c r="Q11" s="11">
        <f t="shared" si="6"/>
        <v>4.25</v>
      </c>
      <c r="R11" s="14">
        <f>'OUTSTATION-AFRICA LAB '!R12+'UBIPHARM-OUTSTATION'!R12+'LABOREX OUTSTATION'!R12+'CAMED &amp; TEDIS OUTSTATION'!R12</f>
        <v>2</v>
      </c>
      <c r="S11" s="11">
        <f t="shared" si="7"/>
        <v>1.7</v>
      </c>
      <c r="T11" s="14">
        <f>'OUTSTATION-AFRICA LAB '!T12+'UBIPHARM-OUTSTATION'!T12+'LABOREX OUTSTATION'!T12+'CAMED &amp; TEDIS OUTSTATION'!T12</f>
        <v>0</v>
      </c>
      <c r="U11" s="11">
        <f t="shared" si="8"/>
        <v>0</v>
      </c>
      <c r="V11" s="14">
        <f>'OUTSTATION-AFRICA LAB '!V12+'UBIPHARM-OUTSTATION'!V12+'LABOREX OUTSTATION'!V12+'CAMED &amp; TEDIS OUTSTATION'!V12</f>
        <v>11</v>
      </c>
      <c r="W11" s="11">
        <f t="shared" si="9"/>
        <v>9.35</v>
      </c>
      <c r="X11" s="20">
        <f t="shared" si="10"/>
        <v>87</v>
      </c>
      <c r="Y11" s="11">
        <f t="shared" si="11"/>
        <v>73.95</v>
      </c>
    </row>
    <row r="12" spans="1:25">
      <c r="A12" s="11">
        <v>9</v>
      </c>
      <c r="B12" s="12" t="s">
        <v>21</v>
      </c>
      <c r="C12" s="13">
        <v>1.98</v>
      </c>
      <c r="D12" s="14">
        <f>'OUTSTATION-AFRICA LAB '!D13+'UBIPHARM-OUTSTATION'!D13+'LABOREX OUTSTATION'!D13+'CAMED &amp; TEDIS OUTSTATION'!D13</f>
        <v>160</v>
      </c>
      <c r="E12" s="11">
        <f t="shared" si="0"/>
        <v>316.8</v>
      </c>
      <c r="F12" s="14">
        <f>'OUTSTATION-AFRICA LAB '!F13+'UBIPHARM-OUTSTATION'!F13+'LABOREX OUTSTATION'!F13+'CAMED &amp; TEDIS OUTSTATION'!F13</f>
        <v>122</v>
      </c>
      <c r="G12" s="11">
        <f t="shared" si="1"/>
        <v>241.56</v>
      </c>
      <c r="H12" s="14">
        <f>'OUTSTATION-AFRICA LAB '!H13+'UBIPHARM-OUTSTATION'!H13+'LABOREX OUTSTATION'!H13+'CAMED &amp; TEDIS OUTSTATION'!H13</f>
        <v>213</v>
      </c>
      <c r="I12" s="11">
        <f t="shared" si="2"/>
        <v>421.74</v>
      </c>
      <c r="J12" s="14">
        <f>'OUTSTATION-AFRICA LAB '!J13+'UBIPHARM-OUTSTATION'!J13+'LABOREX OUTSTATION'!J13+'CAMED &amp; TEDIS OUTSTATION'!J13</f>
        <v>823</v>
      </c>
      <c r="K12" s="11">
        <f t="shared" si="3"/>
        <v>1629.54</v>
      </c>
      <c r="L12" s="14">
        <f>'OUTSTATION-AFRICA LAB '!L13+'UBIPHARM-OUTSTATION'!L13+'LABOREX OUTSTATION'!L13+'CAMED &amp; TEDIS OUTSTATION'!L13</f>
        <v>28</v>
      </c>
      <c r="M12" s="11">
        <f t="shared" si="4"/>
        <v>55.44</v>
      </c>
      <c r="N12" s="14">
        <f>'OUTSTATION-AFRICA LAB '!N13+'UBIPHARM-OUTSTATION'!N13+'LABOREX OUTSTATION'!N13+'CAMED &amp; TEDIS OUTSTATION'!N13</f>
        <v>108</v>
      </c>
      <c r="O12" s="11">
        <f t="shared" si="5"/>
        <v>213.84</v>
      </c>
      <c r="P12" s="14">
        <f>'OUTSTATION-AFRICA LAB '!P13+'UBIPHARM-OUTSTATION'!P13+'LABOREX OUTSTATION'!P13+'CAMED &amp; TEDIS OUTSTATION'!P13</f>
        <v>304</v>
      </c>
      <c r="Q12" s="11">
        <f t="shared" si="6"/>
        <v>601.91999999999996</v>
      </c>
      <c r="R12" s="14">
        <f>'OUTSTATION-AFRICA LAB '!R13+'UBIPHARM-OUTSTATION'!R13+'LABOREX OUTSTATION'!R13+'CAMED &amp; TEDIS OUTSTATION'!R13</f>
        <v>532</v>
      </c>
      <c r="S12" s="11">
        <f t="shared" si="7"/>
        <v>1053.3599999999999</v>
      </c>
      <c r="T12" s="14">
        <f>'OUTSTATION-AFRICA LAB '!T13+'UBIPHARM-OUTSTATION'!T13+'LABOREX OUTSTATION'!T13+'CAMED &amp; TEDIS OUTSTATION'!T13</f>
        <v>156</v>
      </c>
      <c r="U12" s="11">
        <f t="shared" si="8"/>
        <v>308.88</v>
      </c>
      <c r="V12" s="14">
        <f>'OUTSTATION-AFRICA LAB '!V13+'UBIPHARM-OUTSTATION'!V13+'LABOREX OUTSTATION'!V13+'CAMED &amp; TEDIS OUTSTATION'!V13</f>
        <v>284</v>
      </c>
      <c r="W12" s="11">
        <f t="shared" si="9"/>
        <v>562.32000000000005</v>
      </c>
      <c r="X12" s="20">
        <f t="shared" si="10"/>
        <v>2730</v>
      </c>
      <c r="Y12" s="11">
        <f t="shared" si="11"/>
        <v>5405.4</v>
      </c>
    </row>
    <row r="13" spans="1:25">
      <c r="A13" s="11">
        <v>10</v>
      </c>
      <c r="B13" s="15" t="s">
        <v>22</v>
      </c>
      <c r="C13" s="13">
        <v>1.98</v>
      </c>
      <c r="D13" s="14">
        <f>'OUTSTATION-AFRICA LAB '!D14+'UBIPHARM-OUTSTATION'!D14+'LABOREX OUTSTATION'!D14+'CAMED &amp; TEDIS OUTSTATION'!D14</f>
        <v>40</v>
      </c>
      <c r="E13" s="11">
        <f t="shared" si="0"/>
        <v>79.2</v>
      </c>
      <c r="F13" s="14">
        <f>'OUTSTATION-AFRICA LAB '!F14+'UBIPHARM-OUTSTATION'!F14+'LABOREX OUTSTATION'!F14+'CAMED &amp; TEDIS OUTSTATION'!F14</f>
        <v>107</v>
      </c>
      <c r="G13" s="11">
        <f t="shared" si="1"/>
        <v>211.85999999999999</v>
      </c>
      <c r="H13" s="14">
        <f>'OUTSTATION-AFRICA LAB '!H14+'UBIPHARM-OUTSTATION'!H14+'LABOREX OUTSTATION'!H14+'CAMED &amp; TEDIS OUTSTATION'!H14</f>
        <v>36</v>
      </c>
      <c r="I13" s="11">
        <f t="shared" si="2"/>
        <v>71.28</v>
      </c>
      <c r="J13" s="14">
        <f>'OUTSTATION-AFRICA LAB '!J14+'UBIPHARM-OUTSTATION'!J14+'LABOREX OUTSTATION'!J14+'CAMED &amp; TEDIS OUTSTATION'!J14</f>
        <v>62</v>
      </c>
      <c r="K13" s="11">
        <f t="shared" si="3"/>
        <v>122.76</v>
      </c>
      <c r="L13" s="14">
        <f>'OUTSTATION-AFRICA LAB '!L14+'UBIPHARM-OUTSTATION'!L14+'LABOREX OUTSTATION'!L14+'CAMED &amp; TEDIS OUTSTATION'!L14</f>
        <v>35</v>
      </c>
      <c r="M13" s="11">
        <f t="shared" si="4"/>
        <v>69.3</v>
      </c>
      <c r="N13" s="14">
        <f>'OUTSTATION-AFRICA LAB '!N14+'UBIPHARM-OUTSTATION'!N14+'LABOREX OUTSTATION'!N14+'CAMED &amp; TEDIS OUTSTATION'!N14</f>
        <v>21</v>
      </c>
      <c r="O13" s="11">
        <f t="shared" si="5"/>
        <v>41.58</v>
      </c>
      <c r="P13" s="14">
        <f>'OUTSTATION-AFRICA LAB '!P14+'UBIPHARM-OUTSTATION'!P14+'LABOREX OUTSTATION'!P14+'CAMED &amp; TEDIS OUTSTATION'!P14</f>
        <v>27</v>
      </c>
      <c r="Q13" s="11">
        <f t="shared" si="6"/>
        <v>53.46</v>
      </c>
      <c r="R13" s="14">
        <f>'OUTSTATION-AFRICA LAB '!R14+'UBIPHARM-OUTSTATION'!R14+'LABOREX OUTSTATION'!R14+'CAMED &amp; TEDIS OUTSTATION'!R14</f>
        <v>61</v>
      </c>
      <c r="S13" s="11">
        <f t="shared" si="7"/>
        <v>120.78</v>
      </c>
      <c r="T13" s="14">
        <f>'OUTSTATION-AFRICA LAB '!T14+'UBIPHARM-OUTSTATION'!T14+'LABOREX OUTSTATION'!T14+'CAMED &amp; TEDIS OUTSTATION'!T14</f>
        <v>25</v>
      </c>
      <c r="U13" s="11">
        <f t="shared" si="8"/>
        <v>49.5</v>
      </c>
      <c r="V13" s="14">
        <f>'OUTSTATION-AFRICA LAB '!V14+'UBIPHARM-OUTSTATION'!V14+'LABOREX OUTSTATION'!V14+'CAMED &amp; TEDIS OUTSTATION'!V14</f>
        <v>50</v>
      </c>
      <c r="W13" s="11">
        <f t="shared" si="9"/>
        <v>99</v>
      </c>
      <c r="X13" s="20">
        <f t="shared" si="10"/>
        <v>464</v>
      </c>
      <c r="Y13" s="11">
        <f t="shared" si="11"/>
        <v>918.72</v>
      </c>
    </row>
    <row r="14" spans="1:25">
      <c r="A14" s="11">
        <v>11</v>
      </c>
      <c r="B14" s="12" t="s">
        <v>23</v>
      </c>
      <c r="C14" s="13">
        <v>4.6900000000000004</v>
      </c>
      <c r="D14" s="14">
        <f>'OUTSTATION-AFRICA LAB '!D15+'UBIPHARM-OUTSTATION'!D15+'LABOREX OUTSTATION'!D15+'CAMED &amp; TEDIS OUTSTATION'!D15</f>
        <v>0</v>
      </c>
      <c r="E14" s="11">
        <f t="shared" si="0"/>
        <v>0</v>
      </c>
      <c r="F14" s="14">
        <f>'OUTSTATION-AFRICA LAB '!F15+'UBIPHARM-OUTSTATION'!F15+'LABOREX OUTSTATION'!F15+'CAMED &amp; TEDIS OUTSTATION'!F15</f>
        <v>2</v>
      </c>
      <c r="G14" s="11">
        <f t="shared" si="1"/>
        <v>9.3800000000000008</v>
      </c>
      <c r="H14" s="14">
        <f>'OUTSTATION-AFRICA LAB '!H15+'UBIPHARM-OUTSTATION'!H15+'LABOREX OUTSTATION'!H15+'CAMED &amp; TEDIS OUTSTATION'!H15</f>
        <v>65</v>
      </c>
      <c r="I14" s="11">
        <f t="shared" si="2"/>
        <v>304.85000000000002</v>
      </c>
      <c r="J14" s="14">
        <f>'OUTSTATION-AFRICA LAB '!J15+'UBIPHARM-OUTSTATION'!J15+'LABOREX OUTSTATION'!J15+'CAMED &amp; TEDIS OUTSTATION'!J15</f>
        <v>2</v>
      </c>
      <c r="K14" s="11">
        <f t="shared" si="3"/>
        <v>9.3800000000000008</v>
      </c>
      <c r="L14" s="14">
        <f>'OUTSTATION-AFRICA LAB '!L15+'UBIPHARM-OUTSTATION'!L15+'LABOREX OUTSTATION'!L15+'CAMED &amp; TEDIS OUTSTATION'!L15</f>
        <v>24</v>
      </c>
      <c r="M14" s="11">
        <f t="shared" si="4"/>
        <v>112.56</v>
      </c>
      <c r="N14" s="14">
        <f>'OUTSTATION-AFRICA LAB '!N15+'UBIPHARM-OUTSTATION'!N15+'LABOREX OUTSTATION'!N15+'CAMED &amp; TEDIS OUTSTATION'!N15</f>
        <v>21</v>
      </c>
      <c r="O14" s="11">
        <f t="shared" si="5"/>
        <v>98.490000000000009</v>
      </c>
      <c r="P14" s="14">
        <f>'OUTSTATION-AFRICA LAB '!P15+'UBIPHARM-OUTSTATION'!P15+'LABOREX OUTSTATION'!P15+'CAMED &amp; TEDIS OUTSTATION'!P15</f>
        <v>0</v>
      </c>
      <c r="Q14" s="11">
        <f t="shared" si="6"/>
        <v>0</v>
      </c>
      <c r="R14" s="14">
        <f>'OUTSTATION-AFRICA LAB '!R15+'UBIPHARM-OUTSTATION'!R15+'LABOREX OUTSTATION'!R15+'CAMED &amp; TEDIS OUTSTATION'!R15</f>
        <v>0</v>
      </c>
      <c r="S14" s="11">
        <f t="shared" si="7"/>
        <v>0</v>
      </c>
      <c r="T14" s="14">
        <f>'OUTSTATION-AFRICA LAB '!T15+'UBIPHARM-OUTSTATION'!T15+'LABOREX OUTSTATION'!T15+'CAMED &amp; TEDIS OUTSTATION'!T15</f>
        <v>0</v>
      </c>
      <c r="U14" s="11">
        <f t="shared" si="8"/>
        <v>0</v>
      </c>
      <c r="V14" s="14">
        <f>'OUTSTATION-AFRICA LAB '!V15+'UBIPHARM-OUTSTATION'!V15+'LABOREX OUTSTATION'!V15+'CAMED &amp; TEDIS OUTSTATION'!V15</f>
        <v>26</v>
      </c>
      <c r="W14" s="11">
        <f t="shared" si="9"/>
        <v>121.94000000000001</v>
      </c>
      <c r="X14" s="20">
        <f t="shared" si="10"/>
        <v>140</v>
      </c>
      <c r="Y14" s="11">
        <f t="shared" si="11"/>
        <v>656.6</v>
      </c>
    </row>
    <row r="15" spans="1:25">
      <c r="A15" s="11">
        <v>12</v>
      </c>
      <c r="B15" s="12" t="s">
        <v>24</v>
      </c>
      <c r="C15" s="13">
        <v>2.9</v>
      </c>
      <c r="D15" s="14">
        <f>'OUTSTATION-AFRICA LAB '!D16+'UBIPHARM-OUTSTATION'!D16+'LABOREX OUTSTATION'!D16+'CAMED &amp; TEDIS OUTSTATION'!D16</f>
        <v>0</v>
      </c>
      <c r="E15" s="11">
        <f t="shared" si="0"/>
        <v>0</v>
      </c>
      <c r="F15" s="14">
        <f>'OUTSTATION-AFRICA LAB '!F16+'UBIPHARM-OUTSTATION'!F16+'LABOREX OUTSTATION'!F16+'CAMED &amp; TEDIS OUTSTATION'!F16</f>
        <v>0</v>
      </c>
      <c r="G15" s="11">
        <f t="shared" si="1"/>
        <v>0</v>
      </c>
      <c r="H15" s="14">
        <f>'OUTSTATION-AFRICA LAB '!H16+'UBIPHARM-OUTSTATION'!H16+'LABOREX OUTSTATION'!H16+'CAMED &amp; TEDIS OUTSTATION'!H16</f>
        <v>23</v>
      </c>
      <c r="I15" s="11">
        <f t="shared" si="2"/>
        <v>66.7</v>
      </c>
      <c r="J15" s="14">
        <f>'OUTSTATION-AFRICA LAB '!J16+'UBIPHARM-OUTSTATION'!J16+'LABOREX OUTSTATION'!J16+'CAMED &amp; TEDIS OUTSTATION'!J16</f>
        <v>0</v>
      </c>
      <c r="K15" s="11">
        <f t="shared" si="3"/>
        <v>0</v>
      </c>
      <c r="L15" s="14">
        <f>'OUTSTATION-AFRICA LAB '!L16+'UBIPHARM-OUTSTATION'!L16+'LABOREX OUTSTATION'!L16+'CAMED &amp; TEDIS OUTSTATION'!L16</f>
        <v>2</v>
      </c>
      <c r="M15" s="11">
        <f t="shared" si="4"/>
        <v>5.8</v>
      </c>
      <c r="N15" s="14">
        <f>'OUTSTATION-AFRICA LAB '!N16+'UBIPHARM-OUTSTATION'!N16+'LABOREX OUTSTATION'!N16+'CAMED &amp; TEDIS OUTSTATION'!N16</f>
        <v>2</v>
      </c>
      <c r="O15" s="11">
        <f t="shared" si="5"/>
        <v>5.8</v>
      </c>
      <c r="P15" s="14">
        <f>'OUTSTATION-AFRICA LAB '!P16+'UBIPHARM-OUTSTATION'!P16+'LABOREX OUTSTATION'!P16+'CAMED &amp; TEDIS OUTSTATION'!P16</f>
        <v>0</v>
      </c>
      <c r="Q15" s="11">
        <f t="shared" si="6"/>
        <v>0</v>
      </c>
      <c r="R15" s="14">
        <f>'OUTSTATION-AFRICA LAB '!R16+'UBIPHARM-OUTSTATION'!R16+'LABOREX OUTSTATION'!R16+'CAMED &amp; TEDIS OUTSTATION'!R16</f>
        <v>0</v>
      </c>
      <c r="S15" s="11">
        <f t="shared" si="7"/>
        <v>0</v>
      </c>
      <c r="T15" s="14">
        <f>'OUTSTATION-AFRICA LAB '!T16+'UBIPHARM-OUTSTATION'!T16+'LABOREX OUTSTATION'!T16+'CAMED &amp; TEDIS OUTSTATION'!T16</f>
        <v>0</v>
      </c>
      <c r="U15" s="11">
        <f t="shared" si="8"/>
        <v>0</v>
      </c>
      <c r="V15" s="14">
        <f>'OUTSTATION-AFRICA LAB '!V16+'UBIPHARM-OUTSTATION'!V16+'LABOREX OUTSTATION'!V16+'CAMED &amp; TEDIS OUTSTATION'!V16</f>
        <v>1</v>
      </c>
      <c r="W15" s="11">
        <f t="shared" si="9"/>
        <v>2.9</v>
      </c>
      <c r="X15" s="20">
        <f t="shared" si="10"/>
        <v>28</v>
      </c>
      <c r="Y15" s="11">
        <f t="shared" si="11"/>
        <v>81.2</v>
      </c>
    </row>
    <row r="16" spans="1:25">
      <c r="A16" s="11">
        <v>13</v>
      </c>
      <c r="B16" s="12" t="s">
        <v>55</v>
      </c>
      <c r="C16" s="13">
        <v>1.9</v>
      </c>
      <c r="D16" s="14">
        <f>'OUTSTATION-AFRICA LAB '!D17+'UBIPHARM-OUTSTATION'!D17+'LABOREX OUTSTATION'!D17+'CAMED &amp; TEDIS OUTSTATION'!D17</f>
        <v>50</v>
      </c>
      <c r="E16" s="11">
        <f>D16*C16</f>
        <v>95</v>
      </c>
      <c r="F16" s="14">
        <f>'OUTSTATION-AFRICA LAB '!F17+'UBIPHARM-OUTSTATION'!F17+'LABOREX OUTSTATION'!F17+'CAMED &amp; TEDIS OUTSTATION'!F17</f>
        <v>20</v>
      </c>
      <c r="G16" s="11">
        <f>C16*F16</f>
        <v>38</v>
      </c>
      <c r="H16" s="14">
        <f>'OUTSTATION-AFRICA LAB '!H17+'UBIPHARM-OUTSTATION'!H17+'LABOREX OUTSTATION'!H17+'CAMED &amp; TEDIS OUTSTATION'!H17</f>
        <v>0</v>
      </c>
      <c r="I16" s="11">
        <f>H16*C16</f>
        <v>0</v>
      </c>
      <c r="J16" s="14">
        <f>'OUTSTATION-AFRICA LAB '!J17+'UBIPHARM-OUTSTATION'!J17+'LABOREX OUTSTATION'!J17+'CAMED &amp; TEDIS OUTSTATION'!J17</f>
        <v>0</v>
      </c>
      <c r="K16" s="11">
        <f>J16*C16</f>
        <v>0</v>
      </c>
      <c r="L16" s="14">
        <f>'OUTSTATION-AFRICA LAB '!L17+'UBIPHARM-OUTSTATION'!L17+'LABOREX OUTSTATION'!L17+'CAMED &amp; TEDIS OUTSTATION'!L17</f>
        <v>0</v>
      </c>
      <c r="M16" s="11">
        <f>L16*C16</f>
        <v>0</v>
      </c>
      <c r="N16" s="14">
        <f>'OUTSTATION-AFRICA LAB '!N17+'UBIPHARM-OUTSTATION'!N17+'LABOREX OUTSTATION'!N17+'CAMED &amp; TEDIS OUTSTATION'!N17</f>
        <v>10</v>
      </c>
      <c r="O16" s="11">
        <f>C16*N16</f>
        <v>19</v>
      </c>
      <c r="P16" s="14">
        <f>'OUTSTATION-AFRICA LAB '!P17+'UBIPHARM-OUTSTATION'!P17+'LABOREX OUTSTATION'!P17+'CAMED &amp; TEDIS OUTSTATION'!P17</f>
        <v>274</v>
      </c>
      <c r="Q16" s="11">
        <f>P16*C16</f>
        <v>520.6</v>
      </c>
      <c r="R16" s="14">
        <f>'OUTSTATION-AFRICA LAB '!R17+'UBIPHARM-OUTSTATION'!R17+'LABOREX OUTSTATION'!R17+'CAMED &amp; TEDIS OUTSTATION'!R17</f>
        <v>10</v>
      </c>
      <c r="S16" s="11">
        <f>R16*C16</f>
        <v>19</v>
      </c>
      <c r="T16" s="14">
        <f>'OUTSTATION-AFRICA LAB '!T17+'UBIPHARM-OUTSTATION'!T17+'LABOREX OUTSTATION'!T17+'CAMED &amp; TEDIS OUTSTATION'!T17</f>
        <v>0</v>
      </c>
      <c r="U16" s="11">
        <f>T16*C16</f>
        <v>0</v>
      </c>
      <c r="V16" s="14">
        <f>'OUTSTATION-AFRICA LAB '!V17+'UBIPHARM-OUTSTATION'!V17+'LABOREX OUTSTATION'!V17+'CAMED &amp; TEDIS OUTSTATION'!V17</f>
        <v>0</v>
      </c>
      <c r="W16" s="11">
        <f>V16*C16</f>
        <v>0</v>
      </c>
      <c r="X16" s="20">
        <f>D16+F16+H16+J16+L16+N16+P16+R16+T16+V16</f>
        <v>364</v>
      </c>
      <c r="Y16" s="11">
        <f>X16*C16</f>
        <v>691.6</v>
      </c>
    </row>
    <row r="17" spans="1:25">
      <c r="A17" s="11">
        <v>14</v>
      </c>
      <c r="B17" s="12" t="s">
        <v>56</v>
      </c>
      <c r="C17" s="13">
        <v>2.4</v>
      </c>
      <c r="D17" s="14">
        <f>'OUTSTATION-AFRICA LAB '!D18+'UBIPHARM-OUTSTATION'!D18+'LABOREX OUTSTATION'!D18+'CAMED &amp; TEDIS OUTSTATION'!D18</f>
        <v>0</v>
      </c>
      <c r="E17" s="11">
        <f>D17*C17</f>
        <v>0</v>
      </c>
      <c r="F17" s="14">
        <f>'OUTSTATION-AFRICA LAB '!F18+'UBIPHARM-OUTSTATION'!F18+'LABOREX OUTSTATION'!F18+'CAMED &amp; TEDIS OUTSTATION'!F18</f>
        <v>0</v>
      </c>
      <c r="G17" s="11">
        <f>C17*F17</f>
        <v>0</v>
      </c>
      <c r="H17" s="14">
        <f>'OUTSTATION-AFRICA LAB '!H18+'UBIPHARM-OUTSTATION'!H18+'LABOREX OUTSTATION'!H18+'CAMED &amp; TEDIS OUTSTATION'!H18</f>
        <v>0</v>
      </c>
      <c r="I17" s="11">
        <f>H17*C17</f>
        <v>0</v>
      </c>
      <c r="J17" s="14">
        <f>'OUTSTATION-AFRICA LAB '!J18+'UBIPHARM-OUTSTATION'!J18+'LABOREX OUTSTATION'!J18+'CAMED &amp; TEDIS OUTSTATION'!J18</f>
        <v>0</v>
      </c>
      <c r="K17" s="11">
        <f>J17*C17</f>
        <v>0</v>
      </c>
      <c r="L17" s="14">
        <f>'OUTSTATION-AFRICA LAB '!L18+'UBIPHARM-OUTSTATION'!L18+'LABOREX OUTSTATION'!L18+'CAMED &amp; TEDIS OUTSTATION'!L18</f>
        <v>0</v>
      </c>
      <c r="M17" s="11">
        <f>L17*C17</f>
        <v>0</v>
      </c>
      <c r="N17" s="14">
        <f>'OUTSTATION-AFRICA LAB '!N18+'UBIPHARM-OUTSTATION'!N18+'LABOREX OUTSTATION'!N18+'CAMED &amp; TEDIS OUTSTATION'!N18</f>
        <v>0</v>
      </c>
      <c r="O17" s="11">
        <f>C17*N17</f>
        <v>0</v>
      </c>
      <c r="P17" s="14">
        <f>'OUTSTATION-AFRICA LAB '!P18+'UBIPHARM-OUTSTATION'!P18+'LABOREX OUTSTATION'!P18+'CAMED &amp; TEDIS OUTSTATION'!P18</f>
        <v>0</v>
      </c>
      <c r="Q17" s="11">
        <f>P17*C17</f>
        <v>0</v>
      </c>
      <c r="R17" s="14">
        <f>'OUTSTATION-AFRICA LAB '!R18+'UBIPHARM-OUTSTATION'!R18+'LABOREX OUTSTATION'!R18+'CAMED &amp; TEDIS OUTSTATION'!R18</f>
        <v>0</v>
      </c>
      <c r="S17" s="11">
        <f>R17*C17</f>
        <v>0</v>
      </c>
      <c r="T17" s="14">
        <f>'OUTSTATION-AFRICA LAB '!T18+'UBIPHARM-OUTSTATION'!T18+'LABOREX OUTSTATION'!T18+'CAMED &amp; TEDIS OUTSTATION'!T18</f>
        <v>0</v>
      </c>
      <c r="U17" s="11">
        <f>T17*C17</f>
        <v>0</v>
      </c>
      <c r="V17" s="14">
        <f>'OUTSTATION-AFRICA LAB '!V18+'UBIPHARM-OUTSTATION'!V18+'LABOREX OUTSTATION'!V18+'CAMED &amp; TEDIS OUTSTATION'!V18</f>
        <v>0</v>
      </c>
      <c r="W17" s="11">
        <f>V17*C17</f>
        <v>0</v>
      </c>
      <c r="X17" s="20">
        <f>D17+F17+H17+J17+L17+N17+P17+R17+T17+V17</f>
        <v>0</v>
      </c>
      <c r="Y17" s="11">
        <f>X17*C17</f>
        <v>0</v>
      </c>
    </row>
    <row r="18" spans="1:25">
      <c r="A18" s="11">
        <v>15</v>
      </c>
      <c r="B18" s="12" t="s">
        <v>25</v>
      </c>
      <c r="C18" s="13">
        <v>1.5</v>
      </c>
      <c r="D18" s="14">
        <f>'OUTSTATION-AFRICA LAB '!D19+'UBIPHARM-OUTSTATION'!D19+'LABOREX OUTSTATION'!D19+'CAMED &amp; TEDIS OUTSTATION'!D19</f>
        <v>0</v>
      </c>
      <c r="E18" s="11">
        <f>D18*C18</f>
        <v>0</v>
      </c>
      <c r="F18" s="14">
        <f>'OUTSTATION-AFRICA LAB '!F19+'UBIPHARM-OUTSTATION'!F19+'LABOREX OUTSTATION'!F19+'CAMED &amp; TEDIS OUTSTATION'!F19</f>
        <v>9</v>
      </c>
      <c r="G18" s="11">
        <f t="shared" si="1"/>
        <v>13.5</v>
      </c>
      <c r="H18" s="14">
        <f>'OUTSTATION-AFRICA LAB '!H19+'UBIPHARM-OUTSTATION'!H19+'LABOREX OUTSTATION'!H19+'CAMED &amp; TEDIS OUTSTATION'!H19</f>
        <v>52</v>
      </c>
      <c r="I18" s="11">
        <f t="shared" si="2"/>
        <v>78</v>
      </c>
      <c r="J18" s="14">
        <f>'OUTSTATION-AFRICA LAB '!J19+'UBIPHARM-OUTSTATION'!J19+'LABOREX OUTSTATION'!J19+'CAMED &amp; TEDIS OUTSTATION'!J19</f>
        <v>30</v>
      </c>
      <c r="K18" s="11">
        <f t="shared" si="3"/>
        <v>45</v>
      </c>
      <c r="L18" s="14">
        <f>'OUTSTATION-AFRICA LAB '!L19+'UBIPHARM-OUTSTATION'!L19+'LABOREX OUTSTATION'!L19+'CAMED &amp; TEDIS OUTSTATION'!L19</f>
        <v>25</v>
      </c>
      <c r="M18" s="11">
        <f t="shared" si="4"/>
        <v>37.5</v>
      </c>
      <c r="N18" s="14">
        <f>'OUTSTATION-AFRICA LAB '!N19+'UBIPHARM-OUTSTATION'!N19+'LABOREX OUTSTATION'!N19+'CAMED &amp; TEDIS OUTSTATION'!N19</f>
        <v>120</v>
      </c>
      <c r="O18" s="11">
        <f t="shared" si="5"/>
        <v>180</v>
      </c>
      <c r="P18" s="14">
        <f>'OUTSTATION-AFRICA LAB '!P19+'UBIPHARM-OUTSTATION'!P19+'LABOREX OUTSTATION'!P19+'CAMED &amp; TEDIS OUTSTATION'!P19</f>
        <v>0</v>
      </c>
      <c r="Q18" s="11">
        <f t="shared" si="6"/>
        <v>0</v>
      </c>
      <c r="R18" s="14">
        <f>'OUTSTATION-AFRICA LAB '!R19+'UBIPHARM-OUTSTATION'!R19+'LABOREX OUTSTATION'!R19+'CAMED &amp; TEDIS OUTSTATION'!R19</f>
        <v>0</v>
      </c>
      <c r="S18" s="11">
        <f t="shared" si="7"/>
        <v>0</v>
      </c>
      <c r="T18" s="14">
        <f>'OUTSTATION-AFRICA LAB '!T19+'UBIPHARM-OUTSTATION'!T19+'LABOREX OUTSTATION'!T19+'CAMED &amp; TEDIS OUTSTATION'!T19</f>
        <v>0</v>
      </c>
      <c r="U18" s="11">
        <f t="shared" si="8"/>
        <v>0</v>
      </c>
      <c r="V18" s="14">
        <f>'OUTSTATION-AFRICA LAB '!V19+'UBIPHARM-OUTSTATION'!V19+'LABOREX OUTSTATION'!V19+'CAMED &amp; TEDIS OUTSTATION'!V19</f>
        <v>504</v>
      </c>
      <c r="W18" s="11">
        <f t="shared" si="9"/>
        <v>756</v>
      </c>
      <c r="X18" s="20">
        <f t="shared" si="10"/>
        <v>740</v>
      </c>
      <c r="Y18" s="11">
        <f t="shared" si="11"/>
        <v>1110</v>
      </c>
    </row>
    <row r="19" spans="1:25" s="22" customFormat="1">
      <c r="A19" s="11">
        <v>16</v>
      </c>
      <c r="B19" s="12" t="s">
        <v>58</v>
      </c>
      <c r="C19" s="13">
        <v>5.38</v>
      </c>
      <c r="D19" s="14">
        <f>'OUTSTATION-AFRICA LAB '!D20+'UBIPHARM-OUTSTATION'!D20+'LABOREX OUTSTATION'!D20+'CAMED &amp; TEDIS OUTSTATION'!D20</f>
        <v>47</v>
      </c>
      <c r="E19" s="11">
        <f>D19*C19</f>
        <v>252.85999999999999</v>
      </c>
      <c r="F19" s="14">
        <f>'OUTSTATION-AFRICA LAB '!F20+'UBIPHARM-OUTSTATION'!F20+'LABOREX OUTSTATION'!F20+'CAMED &amp; TEDIS OUTSTATION'!F20</f>
        <v>20</v>
      </c>
      <c r="G19" s="11">
        <f>C19*F19</f>
        <v>107.6</v>
      </c>
      <c r="H19" s="14">
        <f>'OUTSTATION-AFRICA LAB '!H20+'UBIPHARM-OUTSTATION'!H20+'LABOREX OUTSTATION'!H20+'CAMED &amp; TEDIS OUTSTATION'!H20</f>
        <v>38</v>
      </c>
      <c r="I19" s="11">
        <f>H19*C19</f>
        <v>204.44</v>
      </c>
      <c r="J19" s="14">
        <f>'OUTSTATION-AFRICA LAB '!J20+'UBIPHARM-OUTSTATION'!J20+'LABOREX OUTSTATION'!J20+'CAMED &amp; TEDIS OUTSTATION'!J20</f>
        <v>5</v>
      </c>
      <c r="K19" s="11">
        <f>J19*C19</f>
        <v>26.9</v>
      </c>
      <c r="L19" s="14">
        <f>'OUTSTATION-AFRICA LAB '!L20+'UBIPHARM-OUTSTATION'!L20+'LABOREX OUTSTATION'!L20+'CAMED &amp; TEDIS OUTSTATION'!L20</f>
        <v>10</v>
      </c>
      <c r="M19" s="11">
        <f>L19*C19</f>
        <v>53.8</v>
      </c>
      <c r="N19" s="14">
        <f>'OUTSTATION-AFRICA LAB '!N20+'UBIPHARM-OUTSTATION'!N20+'LABOREX OUTSTATION'!N20+'CAMED &amp; TEDIS OUTSTATION'!N20</f>
        <v>30</v>
      </c>
      <c r="O19" s="11">
        <f>C19*N19</f>
        <v>161.4</v>
      </c>
      <c r="P19" s="14">
        <f>'OUTSTATION-AFRICA LAB '!P20+'UBIPHARM-OUTSTATION'!P20+'LABOREX OUTSTATION'!P20+'CAMED &amp; TEDIS OUTSTATION'!P20</f>
        <v>36</v>
      </c>
      <c r="Q19" s="11">
        <f>P19*C19</f>
        <v>193.68</v>
      </c>
      <c r="R19" s="14">
        <f>'OUTSTATION-AFRICA LAB '!R20+'UBIPHARM-OUTSTATION'!R20+'LABOREX OUTSTATION'!R20+'CAMED &amp; TEDIS OUTSTATION'!R20</f>
        <v>9</v>
      </c>
      <c r="S19" s="11">
        <f>R19*C19</f>
        <v>48.42</v>
      </c>
      <c r="T19" s="14">
        <f>'OUTSTATION-AFRICA LAB '!T20+'UBIPHARM-OUTSTATION'!T20+'LABOREX OUTSTATION'!T20+'CAMED &amp; TEDIS OUTSTATION'!T20</f>
        <v>28</v>
      </c>
      <c r="U19" s="11">
        <f>T19*C19</f>
        <v>150.63999999999999</v>
      </c>
      <c r="V19" s="14">
        <f>'OUTSTATION-AFRICA LAB '!V20+'UBIPHARM-OUTSTATION'!V20+'LABOREX OUTSTATION'!V20+'CAMED &amp; TEDIS OUTSTATION'!V20</f>
        <v>3</v>
      </c>
      <c r="W19" s="11">
        <f>V19*C19</f>
        <v>16.14</v>
      </c>
      <c r="X19" s="20">
        <f>D19+F19+H19+J19+L19+N19+P19+R19+T19+V19</f>
        <v>226</v>
      </c>
      <c r="Y19" s="11">
        <f>X19*C19</f>
        <v>1215.8799999999999</v>
      </c>
    </row>
    <row r="20" spans="1:25" s="22" customFormat="1">
      <c r="A20" s="11">
        <v>17</v>
      </c>
      <c r="B20" s="12" t="s">
        <v>59</v>
      </c>
      <c r="C20" s="13">
        <v>2</v>
      </c>
      <c r="D20" s="14">
        <f>'OUTSTATION-AFRICA LAB '!D21+'UBIPHARM-OUTSTATION'!D21+'LABOREX OUTSTATION'!D21+'CAMED &amp; TEDIS OUTSTATION'!D21</f>
        <v>0</v>
      </c>
      <c r="E20" s="11">
        <f>D20*C20</f>
        <v>0</v>
      </c>
      <c r="F20" s="14">
        <f>'OUTSTATION-AFRICA LAB '!F21+'UBIPHARM-OUTSTATION'!F21+'LABOREX OUTSTATION'!F21+'CAMED &amp; TEDIS OUTSTATION'!F21</f>
        <v>0</v>
      </c>
      <c r="G20" s="11">
        <f>C20*F20</f>
        <v>0</v>
      </c>
      <c r="H20" s="14">
        <f>'OUTSTATION-AFRICA LAB '!H21+'UBIPHARM-OUTSTATION'!H21+'LABOREX OUTSTATION'!H21+'CAMED &amp; TEDIS OUTSTATION'!H21</f>
        <v>42</v>
      </c>
      <c r="I20" s="11">
        <f>H20*C20</f>
        <v>84</v>
      </c>
      <c r="J20" s="14">
        <f>'OUTSTATION-AFRICA LAB '!J21+'UBIPHARM-OUTSTATION'!J21+'LABOREX OUTSTATION'!J21+'CAMED &amp; TEDIS OUTSTATION'!J21</f>
        <v>0</v>
      </c>
      <c r="K20" s="11">
        <f>J20*C20</f>
        <v>0</v>
      </c>
      <c r="L20" s="14">
        <f>'OUTSTATION-AFRICA LAB '!L21+'UBIPHARM-OUTSTATION'!L21+'LABOREX OUTSTATION'!L21+'CAMED &amp; TEDIS OUTSTATION'!L21</f>
        <v>0</v>
      </c>
      <c r="M20" s="11">
        <f>L20*C20</f>
        <v>0</v>
      </c>
      <c r="N20" s="14">
        <f>'OUTSTATION-AFRICA LAB '!N21+'UBIPHARM-OUTSTATION'!N21+'LABOREX OUTSTATION'!N21+'CAMED &amp; TEDIS OUTSTATION'!N21</f>
        <v>0</v>
      </c>
      <c r="O20" s="11">
        <f>C20*N20</f>
        <v>0</v>
      </c>
      <c r="P20" s="14">
        <f>'OUTSTATION-AFRICA LAB '!P21+'UBIPHARM-OUTSTATION'!P21+'LABOREX OUTSTATION'!P21+'CAMED &amp; TEDIS OUTSTATION'!P21</f>
        <v>0</v>
      </c>
      <c r="Q20" s="11">
        <f>P20*C20</f>
        <v>0</v>
      </c>
      <c r="R20" s="14">
        <f>'OUTSTATION-AFRICA LAB '!R21+'UBIPHARM-OUTSTATION'!R21+'LABOREX OUTSTATION'!R21+'CAMED &amp; TEDIS OUTSTATION'!R21</f>
        <v>0</v>
      </c>
      <c r="S20" s="11">
        <f>R20*C20</f>
        <v>0</v>
      </c>
      <c r="T20" s="14">
        <f>'OUTSTATION-AFRICA LAB '!T21+'UBIPHARM-OUTSTATION'!T21+'LABOREX OUTSTATION'!T21+'CAMED &amp; TEDIS OUTSTATION'!T21</f>
        <v>0</v>
      </c>
      <c r="U20" s="11">
        <f>T20*C20</f>
        <v>0</v>
      </c>
      <c r="V20" s="14">
        <f>'OUTSTATION-AFRICA LAB '!V21+'UBIPHARM-OUTSTATION'!V21+'LABOREX OUTSTATION'!V21+'CAMED &amp; TEDIS OUTSTATION'!V21</f>
        <v>0</v>
      </c>
      <c r="W20" s="11">
        <f>V20*C20</f>
        <v>0</v>
      </c>
      <c r="X20" s="20">
        <f>D20+F20+H20+J20+L20+N20+P20+R20+T20+V20</f>
        <v>42</v>
      </c>
      <c r="Y20" s="11">
        <f>X20*C20</f>
        <v>84</v>
      </c>
    </row>
    <row r="21" spans="1:25">
      <c r="A21" s="16"/>
      <c r="B21" s="17" t="s">
        <v>6</v>
      </c>
      <c r="C21" s="17"/>
      <c r="D21" s="17"/>
      <c r="E21" s="17">
        <f>SUM(E4:E20)</f>
        <v>3266.41</v>
      </c>
      <c r="F21" s="17"/>
      <c r="G21" s="17">
        <f>SUM(G4:G20)</f>
        <v>1321.51</v>
      </c>
      <c r="H21" s="17"/>
      <c r="I21" s="17">
        <f>SUM(I4:I20)</f>
        <v>2220.9199999999996</v>
      </c>
      <c r="J21" s="17"/>
      <c r="K21" s="17">
        <f>SUM(K4:K20)</f>
        <v>3143.1200000000003</v>
      </c>
      <c r="L21" s="17"/>
      <c r="M21" s="17">
        <f>SUM(M4:M20)</f>
        <v>2156.3900000000008</v>
      </c>
      <c r="N21" s="17"/>
      <c r="O21" s="17">
        <f>SUM(O4:O20)</f>
        <v>1329.15</v>
      </c>
      <c r="P21" s="17"/>
      <c r="Q21" s="17">
        <f>SUM(Q4:Q20)</f>
        <v>4089.5299999999997</v>
      </c>
      <c r="R21" s="17"/>
      <c r="S21" s="17">
        <f>SUM(S4:S20)</f>
        <v>4705.0599999999995</v>
      </c>
      <c r="T21" s="17"/>
      <c r="U21" s="17">
        <f>SUM(U4:U20)</f>
        <v>1330.6</v>
      </c>
      <c r="V21" s="17"/>
      <c r="W21" s="17">
        <f>SUM(W4:W20)</f>
        <v>8419.7999999999993</v>
      </c>
      <c r="X21" s="17"/>
      <c r="Y21" s="21">
        <f>E21+G21+I21+K21+M21+O21+Q21+S21+U21+W21</f>
        <v>31982.49</v>
      </c>
    </row>
  </sheetData>
  <mergeCells count="11">
    <mergeCell ref="V2:W2"/>
    <mergeCell ref="X2:Y2"/>
    <mergeCell ref="D2:E2"/>
    <mergeCell ref="F2:G2"/>
    <mergeCell ref="P2:Q2"/>
    <mergeCell ref="R2:S2"/>
    <mergeCell ref="T2:U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DEC-24</vt:lpstr>
      <vt:lpstr>BAMAKO FINAL</vt:lpstr>
      <vt:lpstr>BAMAKO POOL-UBIPHARM</vt:lpstr>
      <vt:lpstr>BAMAKO POOL-LABOREX</vt:lpstr>
      <vt:lpstr>BAMAKO POOL-AFRICALA</vt:lpstr>
      <vt:lpstr>BAMAKO POOL-CAMED &amp;TEDIS&amp;AFRICA</vt:lpstr>
      <vt:lpstr>BAMAKO POOL-TOTAL</vt:lpstr>
      <vt:lpstr>OUTSTATION-AFRICA LAB </vt:lpstr>
      <vt:lpstr>UBIPHARM-OUTSTATION</vt:lpstr>
      <vt:lpstr>LABOREX OUTSTATION</vt:lpstr>
      <vt:lpstr>TOTAL UBI -LABOREX-CAMED-AFRI</vt:lpstr>
      <vt:lpstr>TOTAL SALE MALI</vt:lpstr>
      <vt:lpstr>BAMAKO POOL</vt:lpstr>
      <vt:lpstr>CAMED &amp; TEDIS OUTSTATION</vt:lpstr>
      <vt:lpstr>OUTSTATION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</dc:creator>
  <cp:lastModifiedBy>User</cp:lastModifiedBy>
  <dcterms:created xsi:type="dcterms:W3CDTF">2023-01-31T18:38:00Z</dcterms:created>
  <dcterms:modified xsi:type="dcterms:W3CDTF">2025-12-11T21:57:10Z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B7F91A82C711452E9FB99E6225FC7843_13</vt:lpwstr>
  </property>
  <property fmtid="{D5CDD505-2E9C-101B-9397-08002B2CF9AE}" pid="3" name="KSOProductBuildVer">
    <vt:lpwstr>1033-12.2.0.13306</vt:lpwstr>
  </property>
</Properties>
</file>